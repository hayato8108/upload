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workspace\"/>
    </mc:Choice>
  </mc:AlternateContent>
  <xr:revisionPtr revIDLastSave="0" documentId="13_ncr:1_{A8F616ED-0247-43BC-BB93-971AC5D7CA3D}" xr6:coauthVersionLast="47" xr6:coauthVersionMax="47" xr10:uidLastSave="{00000000-0000-0000-0000-000000000000}"/>
  <bookViews>
    <workbookView xWindow="0" yWindow="345" windowWidth="26430" windowHeight="14835" xr2:uid="{0C1228A9-AEFD-4531-87B5-7E45CE2C6C30}"/>
  </bookViews>
  <sheets>
    <sheet name="TEST_OUTER" sheetId="1332" r:id="rId1"/>
    <sheet name="TEST_OUTER2" sheetId="1333" r:id="rId2"/>
    <sheet name="TEST_SHT" sheetId="1328" r:id="rId3"/>
    <sheet name="TEST_SUB" sheetId="1329" r:id="rId4"/>
    <sheet name="TEST_MAIN" sheetId="1330" r:id="rId5"/>
    <sheet name="LinkSht" sheetId="51" r:id="rId6"/>
    <sheet name="LinkShtDB" sheetId="1340" r:id="rId7"/>
    <sheet name="LinkShtSQL" sheetId="1327" r:id="rId8"/>
    <sheet name="LinkShtClt" sheetId="134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2" i="51" l="1"/>
  <c r="C68" i="51"/>
  <c r="C391" i="1327"/>
  <c r="C388" i="1327"/>
  <c r="C385" i="1327"/>
  <c r="C382" i="1327"/>
  <c r="C379" i="1327"/>
  <c r="C376" i="1327"/>
  <c r="C373" i="1327"/>
  <c r="C370" i="1327"/>
  <c r="C345" i="1327"/>
  <c r="C339" i="1327"/>
  <c r="C337" i="1327"/>
  <c r="C335" i="1327"/>
  <c r="C333" i="1327"/>
  <c r="C331" i="1327"/>
  <c r="C329" i="1327"/>
  <c r="B312" i="1327"/>
  <c r="B311" i="1327"/>
  <c r="C310" i="1327"/>
  <c r="B310" i="1327"/>
  <c r="B309" i="1327"/>
  <c r="B308" i="1327"/>
  <c r="C307" i="1327"/>
  <c r="B307" i="1327"/>
  <c r="B306" i="1327"/>
  <c r="C299" i="1327"/>
  <c r="C296" i="1327"/>
  <c r="C293" i="1327"/>
  <c r="C290" i="1327"/>
  <c r="C287" i="1327"/>
  <c r="C284" i="1327"/>
  <c r="C281" i="1327"/>
  <c r="C278" i="1327"/>
  <c r="C275" i="1327"/>
  <c r="C272" i="1327"/>
  <c r="C269" i="1327"/>
  <c r="C266" i="1327"/>
  <c r="C263" i="1327"/>
  <c r="C260" i="1327"/>
  <c r="C257" i="1327"/>
  <c r="C254" i="1327"/>
  <c r="C251" i="1327"/>
  <c r="C248" i="1327"/>
  <c r="C245" i="1327"/>
  <c r="C242" i="1327"/>
  <c r="C239" i="1327"/>
  <c r="C236" i="1327"/>
  <c r="C229" i="1327"/>
  <c r="C226" i="1327"/>
  <c r="C223" i="1327"/>
  <c r="C220" i="1327"/>
  <c r="C217" i="1327"/>
  <c r="C214" i="1327"/>
  <c r="C211" i="1327"/>
  <c r="C208" i="1327"/>
  <c r="C205" i="1327"/>
  <c r="C202" i="1327"/>
  <c r="C199" i="1327"/>
  <c r="C196" i="1327"/>
  <c r="C193" i="1327"/>
  <c r="C190" i="1327"/>
  <c r="C187" i="1327"/>
  <c r="C184" i="1327"/>
  <c r="C181" i="1327"/>
  <c r="C178" i="1327"/>
  <c r="C175" i="1327"/>
  <c r="C172" i="1327"/>
  <c r="C169" i="1327"/>
  <c r="C166" i="1327"/>
  <c r="C78" i="1327"/>
  <c r="C76" i="1327"/>
  <c r="C74" i="1327"/>
  <c r="C72" i="1327"/>
  <c r="C70" i="1327"/>
  <c r="C68" i="1327"/>
  <c r="C66" i="1327"/>
  <c r="C64" i="1327"/>
  <c r="C62" i="1327"/>
  <c r="C60" i="1327"/>
  <c r="C58" i="1327"/>
  <c r="C56" i="1327"/>
  <c r="C54" i="1327"/>
  <c r="C52" i="1327"/>
  <c r="C50" i="1327"/>
  <c r="C48" i="1327"/>
  <c r="C46" i="1327"/>
  <c r="C44" i="1327"/>
  <c r="C5" i="1327"/>
  <c r="B36" i="1327"/>
  <c r="B3" i="1327"/>
  <c r="B35" i="1327"/>
  <c r="B4" i="51"/>
  <c r="C12" i="1340" l="1"/>
  <c r="C27" i="1341"/>
  <c r="B34" i="1341"/>
  <c r="B4" i="1341"/>
  <c r="C7" i="51" l="1"/>
  <c r="C52" i="51" l="1"/>
  <c r="C51" i="51" s="1"/>
  <c r="C20" i="51"/>
  <c r="B10" i="1340"/>
</calcChain>
</file>

<file path=xl/sharedStrings.xml><?xml version="1.0" encoding="utf-8"?>
<sst xmlns="http://schemas.openxmlformats.org/spreadsheetml/2006/main" count="3231" uniqueCount="1346">
  <si>
    <t>B</t>
  </si>
  <si>
    <t>AI</t>
  </si>
  <si>
    <t>Alias</t>
  </si>
  <si>
    <t>C</t>
  </si>
  <si>
    <t/>
  </si>
  <si>
    <t>[WorkBookName]</t>
  </si>
  <si>
    <t>[WorkSheetName]</t>
  </si>
  <si>
    <t>[KeyCol]</t>
  </si>
  <si>
    <t>[RtnCol]</t>
  </si>
  <si>
    <t>計器 (Fﾌﾟﾛ_共通)</t>
  </si>
  <si>
    <t>M3</t>
  </si>
  <si>
    <t>A3</t>
  </si>
  <si>
    <t>E3</t>
  </si>
  <si>
    <t>%</t>
  </si>
  <si>
    <t>AI_AL4</t>
  </si>
  <si>
    <t>AI_SV</t>
  </si>
  <si>
    <t>PID</t>
  </si>
  <si>
    <t>AI_SV2</t>
  </si>
  <si>
    <t>AI_Q</t>
  </si>
  <si>
    <t>*</t>
  </si>
  <si>
    <t>A1</t>
  </si>
  <si>
    <t>C7</t>
  </si>
  <si>
    <t>C159</t>
  </si>
  <si>
    <t>C459</t>
  </si>
  <si>
    <t>D3</t>
  </si>
  <si>
    <t>A2</t>
  </si>
  <si>
    <t>L10000</t>
  </si>
  <si>
    <t>C:\Users\Owner\Documents\workspace\PRJ\DFR\server\config\trend_peninfo_onepoint.txt</t>
  </si>
  <si>
    <t>trend_peninfo_onepoint</t>
  </si>
  <si>
    <t>trend_peninfo</t>
  </si>
  <si>
    <t>C:\Users\Owner\Documents\workspace\PRJ\DFR\server\TREND01\fieldmaster_tag.csv</t>
  </si>
  <si>
    <t>fieldmaster_tag</t>
  </si>
  <si>
    <t>N500</t>
  </si>
  <si>
    <t>C:\Users\Owner\Documents\workspace\PRJ\DFR\server\TREND02\fieldmaster_tag_pv.csv</t>
  </si>
  <si>
    <t>fieldmaster_tag_pv</t>
  </si>
  <si>
    <t>fieldmaster_tag_sv</t>
  </si>
  <si>
    <t>C:\Users\Owner\Documents\workspace\PRJ\DFR\server\TREND02\fieldmaster_tag_sv.csv</t>
  </si>
  <si>
    <t>fieldmaster_tag_prt</t>
  </si>
  <si>
    <t>C:\Users\Owner\Documents\workspace\PRJ\DFR\server\TREND02\fieldmaster_tag_prt.csv</t>
  </si>
  <si>
    <t>C:\Users\Owner\Documents\workspace\PRJ\DFR\server\Alias\Alias.csv</t>
  </si>
  <si>
    <t>B500</t>
  </si>
  <si>
    <t>C90000</t>
  </si>
  <si>
    <t>AI_SV3</t>
  </si>
  <si>
    <t>ED500</t>
  </si>
  <si>
    <t>G194</t>
  </si>
  <si>
    <t>G322</t>
  </si>
  <si>
    <t>D195</t>
  </si>
  <si>
    <t>D323</t>
  </si>
  <si>
    <t>G578</t>
  </si>
  <si>
    <t>C3</t>
  </si>
  <si>
    <t>G34</t>
  </si>
  <si>
    <t>B5</t>
  </si>
  <si>
    <t>M260</t>
  </si>
  <si>
    <t>H300</t>
  </si>
  <si>
    <t>J300</t>
  </si>
  <si>
    <t>K300</t>
  </si>
  <si>
    <t>G400</t>
  </si>
  <si>
    <t>H150</t>
  </si>
  <si>
    <t>K200</t>
  </si>
  <si>
    <t>O800</t>
  </si>
  <si>
    <t xml:space="preserve">DB_FP_AI </t>
  </si>
  <si>
    <t>DB_FP_AI_AL4</t>
  </si>
  <si>
    <t>DB_FP_AI_Q</t>
  </si>
  <si>
    <t xml:space="preserve">DB_FP_AI_SV </t>
  </si>
  <si>
    <t>DB_FP_AI_SV2</t>
  </si>
  <si>
    <t>DB_FP_AI_SV3</t>
  </si>
  <si>
    <t>DB_FP_PID</t>
  </si>
  <si>
    <t>C150</t>
  </si>
  <si>
    <t>G150</t>
  </si>
  <si>
    <t>K150</t>
  </si>
  <si>
    <t>O150</t>
  </si>
  <si>
    <t>I3</t>
  </si>
  <si>
    <t>Q3</t>
  </si>
  <si>
    <t>S150</t>
  </si>
  <si>
    <t>U3</t>
  </si>
  <si>
    <t>W150</t>
  </si>
  <si>
    <t>AA150</t>
  </si>
  <si>
    <t>Y3</t>
  </si>
  <si>
    <t>AC3</t>
  </si>
  <si>
    <t>AE150</t>
  </si>
  <si>
    <t>AG3</t>
  </si>
  <si>
    <t>AI150</t>
  </si>
  <si>
    <t>AK3</t>
  </si>
  <si>
    <t>AM150</t>
  </si>
  <si>
    <t>G2</t>
  </si>
  <si>
    <t>I800</t>
  </si>
  <si>
    <t>L2</t>
  </si>
  <si>
    <t>N800</t>
  </si>
  <si>
    <t>B90000</t>
  </si>
  <si>
    <t>server_csv</t>
  </si>
  <si>
    <t>C:\Users\Owner\Documents\workspace\PRJ\リスト\server_csv.csv</t>
  </si>
  <si>
    <t>L500</t>
  </si>
  <si>
    <t>C400</t>
  </si>
  <si>
    <t>C:\Users\Owner\Documents\workspace\tmpData\DFR3_FP\AI.csv</t>
  </si>
  <si>
    <t>C:\Users\Owner\Documents\workspace\tmpData\DFR3_FP\AI_AL4.csv</t>
  </si>
  <si>
    <t>C:\Users\Owner\Documents\workspace\tmpData\DFR3_FP\AI_Q.csv</t>
  </si>
  <si>
    <t>C:\Users\Owner\Documents\workspace\tmpData\DFR3_FP\AI_SV.csv</t>
  </si>
  <si>
    <t>C:\Users\Owner\Documents\workspace\tmpData\DFR3_FP\AI_SV2.csv</t>
  </si>
  <si>
    <t>C:\Users\Owner\Documents\workspace\tmpData\DFR3_FP\AI_SV3.csv</t>
  </si>
  <si>
    <t>C:\Users\Owner\Documents\workspace\tmpData\DFR3_FP\PID.csv</t>
  </si>
  <si>
    <t>A106</t>
  </si>
  <si>
    <t>F</t>
  </si>
  <si>
    <t>A209</t>
  </si>
  <si>
    <t>C102</t>
  </si>
  <si>
    <t>G102</t>
  </si>
  <si>
    <t>K102</t>
  </si>
  <si>
    <t>O102</t>
  </si>
  <si>
    <t>S102</t>
  </si>
  <si>
    <t>C205</t>
  </si>
  <si>
    <t>E106</t>
  </si>
  <si>
    <t>I106</t>
  </si>
  <si>
    <t>M106</t>
  </si>
  <si>
    <t>Q106</t>
  </si>
  <si>
    <t>G205</t>
  </si>
  <si>
    <t>K205</t>
  </si>
  <si>
    <t>O205</t>
  </si>
  <si>
    <t>S205</t>
  </si>
  <si>
    <t>C308</t>
  </si>
  <si>
    <t>E209</t>
  </si>
  <si>
    <t>I209</t>
  </si>
  <si>
    <t>M209</t>
  </si>
  <si>
    <t>Q209</t>
  </si>
  <si>
    <t>G308</t>
  </si>
  <si>
    <t>K308</t>
  </si>
  <si>
    <t>O308</t>
  </si>
  <si>
    <t>S308</t>
  </si>
  <si>
    <t>D</t>
  </si>
  <si>
    <t>D35</t>
  </si>
  <si>
    <t>G42</t>
  </si>
  <si>
    <t>C:\Users\Owner\Documents\workspace\PRJ\リスト\リスト\c210609.xlsm</t>
  </si>
  <si>
    <t>E5</t>
  </si>
  <si>
    <t>M300</t>
  </si>
  <si>
    <t>[ CLIENT DB SETTING ]</t>
  </si>
  <si>
    <t>[ KEY ]</t>
  </si>
  <si>
    <t>[ VAL ]</t>
  </si>
  <si>
    <t>//Download xml setting</t>
  </si>
  <si>
    <t>CLT_XML_OUT</t>
  </si>
  <si>
    <t>C:\Users\Owner\Documents\workspace\PRJ\DFR\client\client.xml</t>
  </si>
  <si>
    <t>C:\Users\Owner\Documents\workspace\PRJ\DFR\client\client_out.xml</t>
  </si>
  <si>
    <t>_Graphic</t>
  </si>
  <si>
    <t>AT156</t>
  </si>
  <si>
    <t>AT183</t>
  </si>
  <si>
    <t>AT456</t>
  </si>
  <si>
    <t>AT483</t>
  </si>
  <si>
    <t>[ PARTS DATA ]</t>
  </si>
  <si>
    <t>[ ATTRIBUTES ]</t>
  </si>
  <si>
    <t>CLT_p_r_valve</t>
  </si>
  <si>
    <t>CLT_p_r_pump</t>
  </si>
  <si>
    <t>CLT_p_r_pvsv</t>
  </si>
  <si>
    <t>p_r_valve</t>
  </si>
  <si>
    <t>p_r_pump</t>
  </si>
  <si>
    <t>p_r_pvsv</t>
  </si>
  <si>
    <t>[ LIBRALYCLASS ]</t>
  </si>
  <si>
    <t>CLT_</t>
  </si>
  <si>
    <t>DB_FP_SUM</t>
  </si>
  <si>
    <t>C:\Users\Owner\Documents\workspace\tmpData\DFR3_FP\AI_SUM.csv</t>
  </si>
  <si>
    <t>AI_SUM</t>
  </si>
  <si>
    <t>[TEST_SHT$] AS [MAIN]</t>
  </si>
  <si>
    <t>AAA</t>
  </si>
  <si>
    <t>BBB</t>
  </si>
  <si>
    <t>COL2</t>
  </si>
  <si>
    <t>COL1</t>
  </si>
  <si>
    <t>CCC</t>
  </si>
  <si>
    <t>DDD</t>
  </si>
  <si>
    <t>MAIN-AAA</t>
  </si>
  <si>
    <t>MAIN-CCC</t>
  </si>
  <si>
    <t>MAIN-DDD</t>
  </si>
  <si>
    <t>SUB-AAA</t>
  </si>
  <si>
    <t>SUB-CCC</t>
  </si>
  <si>
    <t>SUB-DDD</t>
  </si>
  <si>
    <t>SUB-AAA SUB-CCC</t>
  </si>
  <si>
    <t>SUB-AAA SUB-DDD</t>
  </si>
  <si>
    <t>OUTER-SUB-AAA SUB-CCC</t>
  </si>
  <si>
    <t>OUTER-SUB-AAA SUB-DDD</t>
  </si>
  <si>
    <t>OUTER-AAA</t>
  </si>
  <si>
    <t>OUTER-BBB</t>
  </si>
  <si>
    <t>[COL1] &amp; ' ' &amp; [COL2] AS [COL1], 'UNION2',''</t>
  </si>
  <si>
    <t>TST_AAA</t>
  </si>
  <si>
    <t>TST_BBB</t>
  </si>
  <si>
    <t>TST_CCC</t>
  </si>
  <si>
    <t>TST_DDD</t>
  </si>
  <si>
    <t>COL3</t>
  </si>
  <si>
    <t>A</t>
  </si>
  <si>
    <t>E</t>
  </si>
  <si>
    <t>OUTER-sub-AAA</t>
  </si>
  <si>
    <t>OUTER-sub-BBB</t>
  </si>
  <si>
    <t>[COL1] &amp; ' ' &amp; [COL2] AS [COL1]  ,   'UNION1'  ,  ''</t>
  </si>
  <si>
    <t>[TEST_MAIN$] AS [UNION1]</t>
  </si>
  <si>
    <t>[TEST_SUB$] AS [UNION3]</t>
  </si>
  <si>
    <t>//</t>
  </si>
  <si>
    <t>LEFT OUTER JOIN [TEST_OUTER$] AS [OUTER] ON [OUTER].[COL1] = [MAIN].[COL1]</t>
  </si>
  <si>
    <t>[MAIN].[COL1] , [MAIN].[COL2] , ''</t>
  </si>
  <si>
    <t>[DB_FP_AI $]</t>
  </si>
  <si>
    <t>[DB_FP_AI_AL4$]</t>
  </si>
  <si>
    <t>[DB_FP_AI_Q$]</t>
  </si>
  <si>
    <t>[DB_FP_AI_SV $]</t>
  </si>
  <si>
    <t>[DB_FP_AI_SV2$]</t>
  </si>
  <si>
    <t>[DB_FP_AI_SV3$]</t>
  </si>
  <si>
    <t>[DB_FP_PID$]</t>
  </si>
  <si>
    <t>[DB_FP_SUM$]</t>
  </si>
  <si>
    <t>[DEVICE]</t>
  </si>
  <si>
    <t>[COMMENT1] &amp;' ' &amp; [COMMENT2] AS [COMMENT]</t>
  </si>
  <si>
    <t xml:space="preserve"> [CATEGORY]</t>
  </si>
  <si>
    <t>[COMMENT]</t>
  </si>
  <si>
    <t>''</t>
  </si>
  <si>
    <t>[CATEGORY]</t>
  </si>
  <si>
    <t>DB_PLC00_OP_X200</t>
  </si>
  <si>
    <t>DB_PLC00_OP_Y0A0</t>
  </si>
  <si>
    <t>DB_PLC03_KONDO_K2A_B1600</t>
  </si>
  <si>
    <t>DB_PLC03_KONDO_A2K_B1200</t>
  </si>
  <si>
    <t>DB_PLC03_KONDO_K2A_W1600</t>
  </si>
  <si>
    <t>DB_PLC03_KONDO_A2K_W1200</t>
  </si>
  <si>
    <t>[DB_PLC03_KONDO_K2A_B$]</t>
  </si>
  <si>
    <t>[DB_PLC03_KONDO_A2K_B$]</t>
  </si>
  <si>
    <t>DB_PLC03_HIRANO_DI_B1300</t>
  </si>
  <si>
    <t>DB_PLC03_HIRANO_ALM_W13E0</t>
  </si>
  <si>
    <t>DB_PLC03_HIRANO_DO_B1000</t>
  </si>
  <si>
    <t>DB_PLC03_HIRANO_PV_W1300</t>
  </si>
  <si>
    <t>DB_PLC03_HIRANO_SV_W1000</t>
  </si>
  <si>
    <t>[DB_PLC03_HIRANO_DI_B$]</t>
  </si>
  <si>
    <t>[DB_PLC03_HIRANO_ALM_W$]</t>
  </si>
  <si>
    <t>[DB_PLC03_HIRANO_DO_B$]</t>
  </si>
  <si>
    <t>DB_PLC03_TYOUGOU_R8000</t>
  </si>
  <si>
    <t>DB_LST_ALIAS</t>
  </si>
  <si>
    <t>DB_LST_SERVER_CSV</t>
  </si>
  <si>
    <t xml:space="preserve">DB_LST_TREND_PENINFO </t>
  </si>
  <si>
    <t>DB_LST_TREND_PENINFO_ONEPOINT</t>
  </si>
  <si>
    <t>DB_LST_ALM_MASTER</t>
  </si>
  <si>
    <t xml:space="preserve">DB_LST_FIELDMASTER_TAG </t>
  </si>
  <si>
    <t>DB_LST_FIELDMASTER_TAG_PV</t>
  </si>
  <si>
    <t>DB_LST_FIELDMASTER_TAG_SV</t>
  </si>
  <si>
    <t>DB_LST_FIELDMASTER_TAG_PRT</t>
  </si>
  <si>
    <t>DB_LST_FACEPLATE_MASTER</t>
  </si>
  <si>
    <t xml:space="preserve">DB_LST_C </t>
  </si>
  <si>
    <t>[Param]</t>
  </si>
  <si>
    <t>[Key]</t>
  </si>
  <si>
    <t>A:DEVICE</t>
  </si>
  <si>
    <t>C:COMMENT1</t>
  </si>
  <si>
    <t>D:COMMENT2</t>
  </si>
  <si>
    <t>E:CATEGORY</t>
  </si>
  <si>
    <t>G:COMMENT</t>
  </si>
  <si>
    <t>H:DEVICE</t>
  </si>
  <si>
    <t>D:COMMENT</t>
  </si>
  <si>
    <t>E:DEVICE</t>
  </si>
  <si>
    <t>F:PV_MIN</t>
  </si>
  <si>
    <t>G:PV_MAX</t>
  </si>
  <si>
    <t>H:UNITS</t>
  </si>
  <si>
    <t>B:COMMENT1</t>
  </si>
  <si>
    <t>C:COMMENT2</t>
  </si>
  <si>
    <t>D:COMMENT3</t>
  </si>
  <si>
    <t>A:INDEX</t>
  </si>
  <si>
    <t>F:MIN</t>
  </si>
  <si>
    <t>G:MAX</t>
  </si>
  <si>
    <t>F:ALIAS</t>
  </si>
  <si>
    <t>K:COMMENT</t>
  </si>
  <si>
    <t>O:DEVICE</t>
  </si>
  <si>
    <t>A:NO</t>
  </si>
  <si>
    <t>B:ALIAS_BASE</t>
  </si>
  <si>
    <t>C:COMMENT</t>
  </si>
  <si>
    <t>D:PV_MIN</t>
  </si>
  <si>
    <t>E:PV_MAX</t>
  </si>
  <si>
    <t>F:SV_MIN</t>
  </si>
  <si>
    <t>G:SV_MAX</t>
  </si>
  <si>
    <t>I:FP_TYPE</t>
  </si>
  <si>
    <t>J:WORD_SIZE</t>
  </si>
  <si>
    <t>K:PV_DEVICE</t>
  </si>
  <si>
    <t>L:SV_DEVICE</t>
  </si>
  <si>
    <t>M:MV_DEVICE</t>
  </si>
  <si>
    <t>N:SH_DEVICE</t>
  </si>
  <si>
    <t>O:SL_DEVICE</t>
  </si>
  <si>
    <t>R:MV2_DEVICE</t>
  </si>
  <si>
    <t>S:DB_DEVICE</t>
  </si>
  <si>
    <t>T:MH_DEVICE</t>
  </si>
  <si>
    <t>U:ML_DEVICE</t>
  </si>
  <si>
    <t>V:HH_DEVICE</t>
  </si>
  <si>
    <t>W:H_DEVICE</t>
  </si>
  <si>
    <t>X:L_DEVICE</t>
  </si>
  <si>
    <t>Y:LL_DEVICE</t>
  </si>
  <si>
    <t>Z:HYS_DEVICE</t>
  </si>
  <si>
    <t>AA:CAL_DEVICE</t>
  </si>
  <si>
    <t>AB:CAL_M_DEVICE</t>
  </si>
  <si>
    <t>AC:RAW_DEVICE</t>
  </si>
  <si>
    <t>AD:P_DEVICE</t>
  </si>
  <si>
    <t>AE:I_DEVICE</t>
  </si>
  <si>
    <t>AF:D_DEVICE</t>
  </si>
  <si>
    <t>AG:MODE_DEVICE</t>
  </si>
  <si>
    <t>AI:PLC_HH_DEVICE</t>
  </si>
  <si>
    <t>AJ:PLC_H_DEVICE</t>
  </si>
  <si>
    <t>AK:PLC_L_DEVICE</t>
  </si>
  <si>
    <t>AL:PLC_LL_DEVICE</t>
  </si>
  <si>
    <t>AM:PLC_CAL_M_DEVICE</t>
  </si>
  <si>
    <t>AN:AL_HH_DEVICE</t>
  </si>
  <si>
    <t>AO:AL_H_DEVICE</t>
  </si>
  <si>
    <t>AP:AL_L_DEVICE</t>
  </si>
  <si>
    <t>AQ:AL_LL_DEVICE</t>
  </si>
  <si>
    <t>AR:AL_CAL_M_DEVICE</t>
  </si>
  <si>
    <t>AT:DECIMAL</t>
  </si>
  <si>
    <t>B:COMMENT</t>
  </si>
  <si>
    <t>C:CATEGORY</t>
  </si>
  <si>
    <t>A:GROUP</t>
  </si>
  <si>
    <t>B:ALIAS</t>
  </si>
  <si>
    <t>A: STRUCT_TAG_DR</t>
  </si>
  <si>
    <t>B: FP_TYPE</t>
  </si>
  <si>
    <t>G: ALIAS_BASE</t>
  </si>
  <si>
    <t>J: COMMENT1</t>
  </si>
  <si>
    <t>M: COMMENT2</t>
  </si>
  <si>
    <t>AB: PV_MAX</t>
  </si>
  <si>
    <t>AE: PV_MIN</t>
  </si>
  <si>
    <t>AH: TREND_MAX</t>
  </si>
  <si>
    <t>AK: TREND_MIN</t>
  </si>
  <si>
    <t>AT: UNITS</t>
  </si>
  <si>
    <t>AE: PV_MAX</t>
  </si>
  <si>
    <t>AH: PV_MIN</t>
  </si>
  <si>
    <t>AK: SV_MAX</t>
  </si>
  <si>
    <t>AN: SV_MIN</t>
  </si>
  <si>
    <t>AQ: TREND_MAX</t>
  </si>
  <si>
    <t>AT: TREND_MIN</t>
  </si>
  <si>
    <t>AU: UNITS</t>
  </si>
  <si>
    <t>AV: DECIMAL</t>
  </si>
  <si>
    <t>AW: RESET</t>
  </si>
  <si>
    <t>BC: UNITS</t>
  </si>
  <si>
    <t>BF: DECIMAL</t>
  </si>
  <si>
    <t>BG: SV_MAX</t>
  </si>
  <si>
    <t>BH: SV_MIN</t>
  </si>
  <si>
    <t>BI: RESET</t>
  </si>
  <si>
    <t>CZ: SV_MAX</t>
  </si>
  <si>
    <t>DA: SV_MIN</t>
  </si>
  <si>
    <t>DB: RESET</t>
  </si>
  <si>
    <t>AH: PV_MAX</t>
  </si>
  <si>
    <t>AK: PV_MIN</t>
  </si>
  <si>
    <t>AT: TREND_MAX</t>
  </si>
  <si>
    <t>AW: TREND_MIN</t>
  </si>
  <si>
    <t>BL: UNITS</t>
  </si>
  <si>
    <t>BO: DECIMAL</t>
  </si>
  <si>
    <t>BP: SV_MAX</t>
  </si>
  <si>
    <t>BQ: SV_MIN</t>
  </si>
  <si>
    <t>BR: RESET</t>
  </si>
  <si>
    <t>A: ALIAS_BASE</t>
  </si>
  <si>
    <t xml:space="preserve">B: COMMENT1 </t>
  </si>
  <si>
    <t xml:space="preserve">C: COMMENT2 </t>
  </si>
  <si>
    <t>D: DECIMAL</t>
  </si>
  <si>
    <t>E: FP_TYPE</t>
  </si>
  <si>
    <t>F: PV_MAX</t>
  </si>
  <si>
    <t>G: PV_MIN</t>
  </si>
  <si>
    <t>H: TREND_MAX</t>
  </si>
  <si>
    <t>I: TREND_MIN</t>
  </si>
  <si>
    <t>J: UNITS</t>
  </si>
  <si>
    <t>K: RESET</t>
  </si>
  <si>
    <t>L: SV_MAX</t>
  </si>
  <si>
    <t>M: SV_MIN</t>
  </si>
  <si>
    <t>[ SHEETS ]</t>
  </si>
  <si>
    <t>[ SQL ]</t>
  </si>
  <si>
    <t>[DB_PLC00_OP_X$]</t>
  </si>
  <si>
    <t>[DB_PLC00_OP_Y$]</t>
  </si>
  <si>
    <t>DB_PLC00_OP_X</t>
  </si>
  <si>
    <t>DB_PLC00_OP_Y</t>
  </si>
  <si>
    <t>DB_PLC03_KONDO_K2A_B</t>
  </si>
  <si>
    <t>DB_PLC03_KONDO_A2K_B</t>
  </si>
  <si>
    <t>DB_PLC03_KONDO_K2A_W</t>
  </si>
  <si>
    <t>DB_PLC03_HIRANO_DI_B</t>
  </si>
  <si>
    <t>DB_PLC03_HIRANO_ALM_W</t>
  </si>
  <si>
    <t>DB_PLC03_HIRANO_DO_B</t>
  </si>
  <si>
    <t>DB_PLC03_HIRANO_PV_W</t>
  </si>
  <si>
    <t>DB_PLC03_HIRANO_SV_W</t>
  </si>
  <si>
    <t>DB_PLC00_AEC_M800</t>
  </si>
  <si>
    <t>[DB_PLC00_AEC_M$]</t>
  </si>
  <si>
    <t>DB_PLC00_AEC_M</t>
  </si>
  <si>
    <t>DB_PLC00_AEC_M700</t>
  </si>
  <si>
    <t>DB_PLC00_AEC_M900</t>
  </si>
  <si>
    <t>DB_PLC00_AEC_M1000</t>
  </si>
  <si>
    <t>DB_PLC00_AEC_M1100</t>
  </si>
  <si>
    <t>DB_PLC00_AEC_M1200</t>
  </si>
  <si>
    <t>DB_PLC00_AEC_R</t>
  </si>
  <si>
    <t>DB_PLC00_AEC_R3500</t>
  </si>
  <si>
    <t>DB_PLC00_AEC_R3600</t>
  </si>
  <si>
    <t>DB_PLC00_AEC_R4000</t>
  </si>
  <si>
    <t>DB_PLC00_AEC_R2000</t>
  </si>
  <si>
    <t>DB_PLC00_AEC_R2100</t>
  </si>
  <si>
    <t>DB_PLC00_AEC_R2600</t>
  </si>
  <si>
    <t>[DB_PLC00_AEC_R$]</t>
  </si>
  <si>
    <t>DB_PLC03_AEC_R</t>
  </si>
  <si>
    <t>DB_PLC03_AEC_R1600</t>
  </si>
  <si>
    <t>DB_PLC03_AEC_R1700</t>
  </si>
  <si>
    <t>DB_PLC03_AEC_R1800</t>
  </si>
  <si>
    <t>DB_PLC03_AEC_R1900</t>
  </si>
  <si>
    <t>DB_PLC03_AEC_R2700</t>
  </si>
  <si>
    <t>DB_PLC03_AEC_R2200</t>
  </si>
  <si>
    <t>DB_PLC03_AEC_R2300</t>
  </si>
  <si>
    <t>DB_PLC03_AEC_R2400</t>
  </si>
  <si>
    <t>DB_PLC03_AEC_R2500</t>
  </si>
  <si>
    <t>DB_PLC03_AEC_R2800</t>
  </si>
  <si>
    <t>DB_PLC03_AEC_R3300</t>
  </si>
  <si>
    <t>DB_PLC03_AEC_R3400</t>
  </si>
  <si>
    <t>DB_PLC03_AEC_R3500</t>
  </si>
  <si>
    <t>DB_PLC03_AEC_R3600</t>
  </si>
  <si>
    <t>DB_PLC03_AEC_R2900</t>
  </si>
  <si>
    <t>DB_PLC03_AEC_R4200</t>
  </si>
  <si>
    <t>DB_PLC03_AEC_R4300</t>
  </si>
  <si>
    <t>DB_PLC03_AEC_R2000</t>
  </si>
  <si>
    <t>DB_PLC03_AEC_R2100</t>
  </si>
  <si>
    <t>DB_PLC03_AEC_R2600</t>
  </si>
  <si>
    <t>DB_PLC03_AEC_R3000</t>
  </si>
  <si>
    <t>DB_PLC03_AEC_R3100</t>
  </si>
  <si>
    <t>DB_PLC03_AEC_R3200</t>
  </si>
  <si>
    <t>[DB_PLC03_AEC_R$]</t>
  </si>
  <si>
    <t>[DB_PLC03_AEC_M$]</t>
  </si>
  <si>
    <t>DB_PLC03_AEC_M</t>
  </si>
  <si>
    <t>DB_PLC03_AEC_M700</t>
  </si>
  <si>
    <t>DB_PLC03_AEC_M800</t>
  </si>
  <si>
    <t>DB_PLC03_AEC_M1400</t>
  </si>
  <si>
    <t>DB_PLC03_AEC_M1900</t>
  </si>
  <si>
    <t>DB_PLC03_AEC_M900</t>
  </si>
  <si>
    <t>DB_PLC03_AEC_M1000</t>
  </si>
  <si>
    <t>DB_PLC03_AEC_M1500</t>
  </si>
  <si>
    <t>DB_PLC03_AEC_M1100</t>
  </si>
  <si>
    <t>DB_PLC03_AEC_M1200</t>
  </si>
  <si>
    <t>DB_PLC03_AEC_M3700</t>
  </si>
  <si>
    <t>DB_PLC03_AEC_M1600</t>
  </si>
  <si>
    <t>DB_PLC03_AEC_M1700</t>
  </si>
  <si>
    <t>DB_PLC03_AEC_M5100</t>
  </si>
  <si>
    <t>DB_PLC03_AEC_M1800</t>
  </si>
  <si>
    <t>DB_PLC03_AEC_B</t>
  </si>
  <si>
    <t>DB_PLC03_AEC_B0000</t>
  </si>
  <si>
    <t>[DB_PLC03_AEC_B$]</t>
  </si>
  <si>
    <t>DB_PLC03_AEC_W</t>
  </si>
  <si>
    <t>DB_PLC03_AEC_W0000</t>
  </si>
  <si>
    <t>[DB_PLC03_AEC_W$]</t>
  </si>
  <si>
    <t>DB_PLC00_AEC_ANALOG</t>
  </si>
  <si>
    <t>DB_PLC00_AEC_ANALOG_1W</t>
  </si>
  <si>
    <t>DB_PLC00_AEC_ANALOG_2W</t>
  </si>
  <si>
    <t>DB_PLC03_AEC_ANALOG</t>
  </si>
  <si>
    <t>DB_PLC03_AEC_ANALOG_1W</t>
  </si>
  <si>
    <t>DB_PLC03_AEC_ANALOG_2W</t>
  </si>
  <si>
    <t>DB_PLC00_AEC_X</t>
  </si>
  <si>
    <t>[DB_PLC00_AEC_X$]</t>
  </si>
  <si>
    <t>DB_PLC00_AEC_Y</t>
  </si>
  <si>
    <t>[DB_PLC00_AEC_Y$]</t>
  </si>
  <si>
    <t>DB_PLC03_AEC_Y</t>
  </si>
  <si>
    <t>[DB_PLC03_AEC_Y$]</t>
  </si>
  <si>
    <t>DB_PLC03_AEC_X</t>
  </si>
  <si>
    <t>[DB_PLC03_AEC_X$]</t>
  </si>
  <si>
    <t>//Sheet Setting</t>
  </si>
  <si>
    <t>DB_PLC03_TYOUGOU_R</t>
  </si>
  <si>
    <t>//Ignore</t>
  </si>
  <si>
    <t>NotEmpty =&gt; Fill Header</t>
  </si>
  <si>
    <t>LinkShtDB</t>
  </si>
  <si>
    <t>LinkShtSQL</t>
  </si>
  <si>
    <t>[PRE_BIT_DEV$]</t>
  </si>
  <si>
    <t>A:GROUP_NAME</t>
  </si>
  <si>
    <t>B:STRUCT_TAG_ADR</t>
  </si>
  <si>
    <t>A: TREND_NAME</t>
  </si>
  <si>
    <t>B: ALIAS</t>
  </si>
  <si>
    <t>C: COMMENT</t>
  </si>
  <si>
    <t>F: DECIMAL</t>
  </si>
  <si>
    <t>K: ALIAS_BASE</t>
  </si>
  <si>
    <t>A:ALARMID</t>
  </si>
  <si>
    <t>D:FULL_ADR</t>
  </si>
  <si>
    <t>A:TREND_COMMENT</t>
  </si>
  <si>
    <t>B: UNITS</t>
  </si>
  <si>
    <t>F: MIN</t>
  </si>
  <si>
    <t>G: MAX</t>
  </si>
  <si>
    <t>J: DATA_SOURCE</t>
  </si>
  <si>
    <t>K: DECIMAL</t>
  </si>
  <si>
    <t>L: SIZE</t>
  </si>
  <si>
    <t>A:ALIAS</t>
  </si>
  <si>
    <t>B:FULL_ADR</t>
  </si>
  <si>
    <t xml:space="preserve">[Header] &gt;&gt; </t>
  </si>
  <si>
    <t>A:CSV1</t>
  </si>
  <si>
    <t>B:CSV2</t>
  </si>
  <si>
    <t>C:CSV3</t>
  </si>
  <si>
    <t>A:SRC</t>
  </si>
  <si>
    <t>TEST</t>
  </si>
  <si>
    <t>[TST2$] AS TST2</t>
  </si>
  <si>
    <t>[TST1$] AS TST1</t>
  </si>
  <si>
    <t>TST1.[COL1] AS [TST1_COL1]</t>
  </si>
  <si>
    <t>TST2.[COL1] AS [TST2_COL1]</t>
  </si>
  <si>
    <t>TST1.[COL2] AS [TST1_COL2]</t>
  </si>
  <si>
    <t>TST2.[COL2] AS [TST2_COL2]</t>
  </si>
  <si>
    <t>//SAMPLE_INNER_JOIN</t>
  </si>
  <si>
    <t>//SAMPLE_FULL_JOIN</t>
  </si>
  <si>
    <t>[TSTOUT2$]</t>
  </si>
  <si>
    <t>[TSTOUT1$]</t>
  </si>
  <si>
    <t>TST1.[COL1] AS [TST1_COL1],TST2.[COL1] AS [TST2_COL1],TST1.[COL2] AS [TST1_COL2],TST2.[COL2] AS [TST2_COL2]</t>
  </si>
  <si>
    <t>FRM1,FRM2</t>
  </si>
  <si>
    <t>[NO]</t>
  </si>
  <si>
    <t>[UNITS]</t>
  </si>
  <si>
    <t>[DECIMAL]</t>
  </si>
  <si>
    <t xml:space="preserve"> [ALIAS_BASE]</t>
  </si>
  <si>
    <t>[FP_TYPE]</t>
  </si>
  <si>
    <t>IIF([WORD_SIZE]='','',IIF([WORD_SIZE]='1W', 'BIN-16', 'BIN-32')) AS [BINALY]</t>
  </si>
  <si>
    <t>[DB_PLC00_AEC_ANALOG$]</t>
  </si>
  <si>
    <t>PV</t>
  </si>
  <si>
    <t>WHERE [ALIAS_BASE] IS NOT NULL</t>
  </si>
  <si>
    <t>SV</t>
  </si>
  <si>
    <t>[DB_PLC03_AEC_ANALOG$]</t>
  </si>
  <si>
    <t>Q:MV1_DEVICE</t>
  </si>
  <si>
    <t>PGPRM_WSFUNC_ROOT</t>
  </si>
  <si>
    <t>PGPRM_SORTSHT</t>
  </si>
  <si>
    <t>LinkSht</t>
  </si>
  <si>
    <t>DB</t>
  </si>
  <si>
    <t>PRE</t>
  </si>
  <si>
    <t>PGPRM_SHTHDN_BOOL</t>
  </si>
  <si>
    <t>LinkShtClt</t>
  </si>
  <si>
    <t>DIFF</t>
  </si>
  <si>
    <t>PGPRM_SHTHDN_SHT</t>
  </si>
  <si>
    <t>[ PRM ]</t>
  </si>
  <si>
    <t>PGPRM_PCT_PATH_DIR</t>
  </si>
  <si>
    <t>Sheet2</t>
  </si>
  <si>
    <t>PGPRM_PCT_OUTSHT</t>
  </si>
  <si>
    <t>"C:\Users\Owner\Documents\workspace\tmpPict\*.*"</t>
  </si>
  <si>
    <t>PGPRM_PCT_GRPRNG_RANGE</t>
  </si>
  <si>
    <t>B2:E20</t>
  </si>
  <si>
    <t>PGPRM_PCT_SPNRNG_ROWCNT</t>
  </si>
  <si>
    <t>Sheet3</t>
  </si>
  <si>
    <t>YET!!!!</t>
  </si>
  <si>
    <t>//PGPRM_UDFILENAME_WORKSHT</t>
  </si>
  <si>
    <t>[TMP_PRE_PLC_ALNG03$]</t>
  </si>
  <si>
    <t>[TMP_PRE_PLC_ALNG00$]</t>
  </si>
  <si>
    <t>[FULL_ADR]</t>
  </si>
  <si>
    <t>[SHEET]</t>
  </si>
  <si>
    <t>[ALIAS]</t>
  </si>
  <si>
    <t>[TYPE]</t>
  </si>
  <si>
    <t>[BINALY]</t>
  </si>
  <si>
    <t>[ALIAS_BASE]</t>
  </si>
  <si>
    <t>&gt;&gt; PRESHT UNION 00, 03</t>
  </si>
  <si>
    <t>&gt;&gt; PLC 03 TMP PRESHT</t>
  </si>
  <si>
    <t>&gt;&gt; PLC 00 TMP PRESHT</t>
  </si>
  <si>
    <t>HEADER</t>
  </si>
  <si>
    <t>PGPRM_DLFILELST_OUTSHT</t>
  </si>
  <si>
    <t>PGPRM_DLFILELST_OUTHDR</t>
  </si>
  <si>
    <t>pict1.jpg</t>
  </si>
  <si>
    <t>pict2.jpg</t>
  </si>
  <si>
    <t>pict3.jpg</t>
  </si>
  <si>
    <t>OUT_FILE</t>
  </si>
  <si>
    <t>PGPRM_DLWSLST_OUTSHT</t>
  </si>
  <si>
    <t>PGPRM_DLWSLST_OUTHDR</t>
  </si>
  <si>
    <t>OUT_WS</t>
  </si>
  <si>
    <t>DB_PLC03_X</t>
  </si>
  <si>
    <t>DB_PLC03_Y</t>
  </si>
  <si>
    <t>DB_PLC03_M</t>
  </si>
  <si>
    <t>DB_PLC03_R</t>
  </si>
  <si>
    <t>DB_PLC00_X</t>
  </si>
  <si>
    <t>DB_PLC00_Y</t>
  </si>
  <si>
    <t>DB_PLC00_M</t>
  </si>
  <si>
    <t>DB_PLC00_R</t>
  </si>
  <si>
    <t>DB_CCL03_W</t>
  </si>
  <si>
    <t>DB_CCL03_B</t>
  </si>
  <si>
    <t>PRE_BITDEV</t>
  </si>
  <si>
    <t>DIFF_PLC03_KONDO_K2A_B</t>
  </si>
  <si>
    <t>TEST_OUTER</t>
  </si>
  <si>
    <t>TEST_OUTER2</t>
  </si>
  <si>
    <t>TEST_SUB</t>
  </si>
  <si>
    <t>TEST_SHT</t>
  </si>
  <si>
    <t>TEST_MAIN</t>
  </si>
  <si>
    <t>^n</t>
  </si>
  <si>
    <t>createNewWindow</t>
  </si>
  <si>
    <t>[ FUNC ]</t>
  </si>
  <si>
    <t>PGPRM_SETKEYBIND</t>
  </si>
  <si>
    <t>REN_FILE</t>
  </si>
  <si>
    <t>WINMERGE</t>
  </si>
  <si>
    <t>PGPRM_DELSHT</t>
  </si>
  <si>
    <t>p_r_Alm</t>
  </si>
  <si>
    <t>CLT_p_r_Alm</t>
  </si>
  <si>
    <t>&gt;&gt; SAMPLE</t>
  </si>
  <si>
    <t>&gt;&gt;PRE-ANLG</t>
  </si>
  <si>
    <t>&gt;&gt;PRESHT-BITDEV</t>
  </si>
  <si>
    <t>[CLT_p_r_valve$]</t>
  </si>
  <si>
    <t>[PRE_CLT$]</t>
  </si>
  <si>
    <t>[CLT_p_r_pump$]</t>
  </si>
  <si>
    <t>[CLT_p_r_pvsv$]</t>
  </si>
  <si>
    <t>[CLT_p_r_Alm$]</t>
  </si>
  <si>
    <t>FUNC</t>
  </si>
  <si>
    <t>WHERE [DEVICE] NOT LIKE 'X200'</t>
  </si>
  <si>
    <t>C:\Users\Owner\Documents\workspace\PRJ\DFR\server_Data\config\trend_peninfo.txt</t>
  </si>
  <si>
    <t>C:\Users\Owner\Documents\workspace\PRJ\DFR\server\config\alarm_Master.csv</t>
  </si>
  <si>
    <t>alarm_Master</t>
  </si>
  <si>
    <t>C:\Users\Owner\Documents\workspace\PRJ\DFR\server_Data\config\faceplate_Master.csv</t>
  </si>
  <si>
    <t>faceplate_Master</t>
  </si>
  <si>
    <t>B:Form</t>
  </si>
  <si>
    <t>C:Folder</t>
  </si>
  <si>
    <t>D:Top</t>
  </si>
  <si>
    <t>F:Height</t>
  </si>
  <si>
    <t>G:Width</t>
  </si>
  <si>
    <t>H:_TagIn</t>
  </si>
  <si>
    <t>A:_Index</t>
  </si>
  <si>
    <t>D:_TagIn</t>
  </si>
  <si>
    <t>D:_TagInPV</t>
  </si>
  <si>
    <t>F:_TagInSV</t>
  </si>
  <si>
    <t>G:_TagOutSV</t>
  </si>
  <si>
    <t>H:_Decimal</t>
  </si>
  <si>
    <t>PGPRM_ALIAS2FULLADR</t>
  </si>
  <si>
    <t>[Form]</t>
  </si>
  <si>
    <t>[_TagIn]</t>
  </si>
  <si>
    <t>[Folder]</t>
  </si>
  <si>
    <t>[_TagIn] As [TagIn]</t>
  </si>
  <si>
    <t>[_TagInPV]</t>
  </si>
  <si>
    <t>[_TagInSV]</t>
  </si>
  <si>
    <t>[_TagIn2]</t>
  </si>
  <si>
    <t xml:space="preserve"> 'p_r_pvsv'</t>
  </si>
  <si>
    <t xml:space="preserve"> 'p_r_pump'</t>
  </si>
  <si>
    <t xml:space="preserve"> 'p_r_Alm'</t>
  </si>
  <si>
    <t>F:_Text</t>
  </si>
  <si>
    <t xml:space="preserve">//SAMPLE </t>
  </si>
  <si>
    <t>//CONDITION</t>
  </si>
  <si>
    <t xml:space="preserve">  'p_r_valve' AS [P_TYPE]</t>
  </si>
  <si>
    <t>WHERE 'PLC00.R.' &amp; [SV_DEVICE]  NOT LIKE  'PLC00.R.' AND [ALIAS_BASE] IS NOT NULL</t>
  </si>
  <si>
    <t>WHERE 'PLC00.R.' &amp; [MV_DEVICE]  NOT LIKE  'PLC00.R.' AND [ALIAS_BASE] IS NOT NULL</t>
  </si>
  <si>
    <t>WHERE 'PLC00.R.' &amp; [MV1_DEVICE]  NOT LIKE  'PLC00.R.' AND [ALIAS_BASE] IS NOT NULL</t>
  </si>
  <si>
    <t>WHERE 'PLC00.R.' &amp; [MV2_DEVICE]  NOT LIKE  'PLC00.R.' AND [ALIAS_BASE] IS NOT NULL</t>
  </si>
  <si>
    <t>WHERE 'PLC00.R.' &amp; [MH_DEVICE]  NOT LIKE  'PLC00.R.' AND [ALIAS_BASE] IS NOT NULL</t>
  </si>
  <si>
    <t>WHERE 'PLC00.R.' &amp; [ML_DEVICE]  NOT LIKE  'PLC00.R.' AND [ALIAS_BASE] IS NOT NULL</t>
  </si>
  <si>
    <t>WHERE 'PLC00.M.' &amp; [AL_CAL_M_DEVICE]  NOT LIKE  'PLC00.M.' AND [ALIAS_BASE] IS NOT NULL</t>
  </si>
  <si>
    <t>WHERE 'PLC00.M.' &amp; [AL_H_DEVICE]  NOT LIKE  'PLC00.M.' AND [ALIAS_BASE] IS NOT NULL</t>
  </si>
  <si>
    <t>WHERE 'PLC00.M.' &amp; [AL_HH_DEVICE]  NOT LIKE  'PLC00.M.' AND [ALIAS_BASE] IS NOT NULL</t>
  </si>
  <si>
    <t>WHERE 'PLC00.M.' &amp; [AL_L_DEVICE]  NOT LIKE  'PLC00.M.' AND [ALIAS_BASE] IS NOT NULL</t>
  </si>
  <si>
    <t>WHERE 'PLC00.M.' &amp; [AL_LL_DEVICE]  NOT LIKE  'PLC00.M.' AND [ALIAS_BASE] IS NOT NULL</t>
  </si>
  <si>
    <t>WHERE 'PLC00.M.' &amp; [PLC_CAL_M_DEVICE]  NOT LIKE  'PLC00.M.' AND [ALIAS_BASE] IS NOT NULL</t>
  </si>
  <si>
    <t>WHERE 'PLC00.M.' &amp; [PLC_H_DEVICE]  NOT LIKE  'PLC00.M.' AND [ALIAS_BASE] IS NOT NULL</t>
  </si>
  <si>
    <t>WHERE 'PLC00.M.' &amp; [PLC_HH_DEVICE]  NOT LIKE  'PLC00.M.' AND [ALIAS_BASE] IS NOT NULL</t>
  </si>
  <si>
    <t>WHERE 'PLC00.M.' &amp; [PLC_L_DEVICE]  NOT LIKE  'PLC00.M.' AND [ALIAS_BASE] IS NOT NULL</t>
  </si>
  <si>
    <t>WHERE 'PLC00.M.' &amp; [PLC_LL_DEVICE]  NOT LIKE  'PLC00.M.' AND [ALIAS_BASE] IS NOT NULL</t>
  </si>
  <si>
    <t>WHERE 'PLC00.R.' &amp; [MODE_DEVICE]  NOT LIKE  'PLC00.R.' AND [ALIAS_BASE] IS NOT NULL</t>
  </si>
  <si>
    <t>WHERE 'PLC00.R.' &amp; [P_DEVICE]  NOT LIKE  'PLC00.R.' AND [ALIAS_BASE] IS NOT NULL</t>
  </si>
  <si>
    <t>WHERE 'PLC00.R.' &amp; [I_DEVICE]  NOT LIKE  'PLC00.R.' AND [ALIAS_BASE] IS NOT NULL</t>
  </si>
  <si>
    <t>WHERE 'PLC00.R.' &amp; [D_DEVICE]  NOT LIKE  'PLC00.R.' AND [ALIAS_BASE] IS NOT NULL</t>
  </si>
  <si>
    <t>WHERE 'PLC00.R.' &amp; [CAL_M_DEVICE]  NOT LIKE  'PLC00.R.' AND [ALIAS_BASE] IS NOT NULL</t>
  </si>
  <si>
    <t>WHERE 'PLC03.R.' &amp; [SV_DEVICE]  NOT LIKE  'PLC03.R.' AND [ALIAS_BASE] IS NOT NULL</t>
  </si>
  <si>
    <t>WHERE 'PLC03.R.' &amp; [MV_DEVICE]  NOT LIKE  'PLC03.R.' AND [ALIAS_BASE] IS NOT NULL</t>
  </si>
  <si>
    <t>WHERE 'PLC03.R.' &amp; [MV1_DEVICE]  NOT LIKE  'PLC03.R.' AND [ALIAS_BASE] IS NOT NULL</t>
  </si>
  <si>
    <t>WHERE 'PLC03.R.' &amp; [MV2_DEVICE]  NOT LIKE  'PLC03.R.' AND [ALIAS_BASE] IS NOT NULL</t>
  </si>
  <si>
    <t>WHERE 'PLC03.R.' &amp; [MH_DEVICE]  NOT LIKE  'PLC03.R.' AND [ALIAS_BASE] IS NOT NULL</t>
  </si>
  <si>
    <t>WHERE 'PLC03.R.' &amp; [ML_DEVICE]  NOT LIKE  'PLC03.R.' AND [ALIAS_BASE] IS NOT NULL</t>
  </si>
  <si>
    <t>WHERE 'PLC03.M.' &amp; [AL_CAL_M_DEVICE]  NOT LIKE  'PLC03.M.' AND [ALIAS_BASE] IS NOT NULL</t>
  </si>
  <si>
    <t>WHERE 'PLC03.M.' &amp; [AL_H_DEVICE]  NOT LIKE  'PLC03.M.' AND [ALIAS_BASE] IS NOT NULL</t>
  </si>
  <si>
    <t>WHERE 'PLC03.M.' &amp; [AL_HH_DEVICE]  NOT LIKE  'PLC03.M.' AND [ALIAS_BASE] IS NOT NULL</t>
  </si>
  <si>
    <t>WHERE 'PLC03.M.' &amp; [AL_L_DEVICE]  NOT LIKE  'PLC03.M.' AND [ALIAS_BASE] IS NOT NULL</t>
  </si>
  <si>
    <t>WHERE 'PLC03.M.' &amp; [AL_LL_DEVICE]  NOT LIKE  'PLC03.M.' AND [ALIAS_BASE] IS NOT NULL</t>
  </si>
  <si>
    <t>WHERE 'PLC03.M.' &amp; [PLC_CAL_M_DEVICE]  NOT LIKE  'PLC03.M.' AND [ALIAS_BASE] IS NOT NULL</t>
  </si>
  <si>
    <t>WHERE 'PLC03.M.' &amp; [PLC_H_DEVICE]  NOT LIKE  'PLC03.M.' AND [ALIAS_BASE] IS NOT NULL</t>
  </si>
  <si>
    <t>WHERE 'PLC03.M.' &amp; [PLC_HH_DEVICE]  NOT LIKE  'PLC03.M.' AND [ALIAS_BASE] IS NOT NULL</t>
  </si>
  <si>
    <t>WHERE 'PLC03.M.' &amp; [PLC_L_DEVICE]  NOT LIKE  'PLC03.M.' AND [ALIAS_BASE] IS NOT NULL</t>
  </si>
  <si>
    <t>WHERE 'PLC03.M.' &amp; [PLC_LL_DEVICE]  NOT LIKE  'PLC03.M.' AND [ALIAS_BASE] IS NOT NULL</t>
  </si>
  <si>
    <t>WHERE 'PLC03.R.' &amp; [MODE_DEVICE]  NOT LIKE  'PLC03.R.' AND [ALIAS_BASE] IS NOT NULL</t>
  </si>
  <si>
    <t>WHERE 'PLC03.R.' &amp; [P_DEVICE]  NOT LIKE  'PLC03.R.' AND [ALIAS_BASE] IS NOT NULL</t>
  </si>
  <si>
    <t>WHERE 'PLC03.R.' &amp; [I_DEVICE]  NOT LIKE  'PLC03.R.' AND [ALIAS_BASE] IS NOT NULL</t>
  </si>
  <si>
    <t>WHERE 'PLC03.R.' &amp; [D_DEVICE]  NOT LIKE  'PLC03.R.' AND [ALIAS_BASE] IS NOT NULL</t>
  </si>
  <si>
    <t>WHERE 'PLC03.R.' &amp; [CAL_M_DEVICE]  NOT LIKE  'PLC03.R.' AND [ALIAS_BASE] IS NOT NULL</t>
  </si>
  <si>
    <t>[DEVICE],[COMMENT],'=retDev2FullAdrFormat("PLC00", left(RC1,1),RC1,6)' AS   [FUNC]</t>
  </si>
  <si>
    <t>&lt;&lt;PRE-ANLG</t>
  </si>
  <si>
    <t>[PRE_DEVICE$]</t>
  </si>
  <si>
    <t>[COMMENT1] &amp;' ' &amp; [COMMENT2]  &amp;' ' &amp; [COMMENT3]</t>
  </si>
  <si>
    <t xml:space="preserve">[COMMENT1] &amp;' ' &amp; [COMMENT2]  &amp;' ' &amp; [COMMENT3] </t>
  </si>
  <si>
    <t xml:space="preserve">[COMMENT1] &amp;' ' &amp; [COMMENT2] </t>
  </si>
  <si>
    <t>[PRE_DEVICE$] AS DEV</t>
  </si>
  <si>
    <t>[DB_LST_ALIAS$] AS ALS</t>
  </si>
  <si>
    <t>CLT</t>
  </si>
  <si>
    <t>Alias-DevList</t>
  </si>
  <si>
    <t xml:space="preserve"> ''</t>
  </si>
  <si>
    <t>[DIFF_ALIAS$]</t>
  </si>
  <si>
    <t>WHERE [FULL_ADR] IS NOT NULL</t>
  </si>
  <si>
    <t>&gt;&gt; DIFF ALIAS</t>
  </si>
  <si>
    <t>&lt;&lt; DIFF ALIAS</t>
  </si>
  <si>
    <t>WHERE [DEV#FULL_ADR] IS NOT NULL OR [ALS#FULL_ADR] IS NOT NULL
ORDER BY [ALS#FULL_ADR]  ASC</t>
  </si>
  <si>
    <t>DEV.[FULL_ADR],ALS.[FULL_ADR],DEV.[COMMENT]</t>
  </si>
  <si>
    <t>PRE.[FULL_ADR]</t>
  </si>
  <si>
    <t>PRE.[Form]</t>
  </si>
  <si>
    <t>PRE.[Folder]</t>
  </si>
  <si>
    <t>PRE.[TagIn]</t>
  </si>
  <si>
    <t>PRE.[P_TYPE]</t>
  </si>
  <si>
    <t>[PRE_CLT$] AS PRE</t>
  </si>
  <si>
    <t>[DIFF_CLT-SVR$]</t>
  </si>
  <si>
    <t>SVR.[COMMENT]</t>
  </si>
  <si>
    <t>[DB_LST_SERVER_CSV$] AS SVR</t>
  </si>
  <si>
    <t>SVR.[DECIMAL]</t>
  </si>
  <si>
    <t>SVR.[BINALY]</t>
  </si>
  <si>
    <t>&gt;&gt; CLT-DIFF</t>
  </si>
  <si>
    <t>&lt;&lt; CLT-DIFF</t>
  </si>
  <si>
    <t>&gt;&gt; PRE-FP</t>
  </si>
  <si>
    <t>&lt;&lt; PRE-FP</t>
  </si>
  <si>
    <t>[PRE_FP$]</t>
  </si>
  <si>
    <t>[FP_TYPE],[ALIAS_BASE],[COMMENT1],[COMMENT2] AS [COMMENT],[PV_MAX],[PV_MIN],[SV_MAX],[SV_MIN],[TREND_MAX],[TREND_MIN],[UNITS],[DECIMAL],[RESET]</t>
  </si>
  <si>
    <t>BD: DECIMAL</t>
  </si>
  <si>
    <t>BE: RESET</t>
  </si>
  <si>
    <t>BF: SV_MAX</t>
  </si>
  <si>
    <t>BG: SV_MIN</t>
  </si>
  <si>
    <t xml:space="preserve">WHERE [FP_TYPE] IS NOT NULL </t>
  </si>
  <si>
    <t>&gt;&gt; DIFF_FP</t>
  </si>
  <si>
    <t>//SAMPLE_LEFT_JOIN</t>
  </si>
  <si>
    <t>SMPL-LEFTJOIN</t>
  </si>
  <si>
    <t>[PRE_ANLG$]</t>
  </si>
  <si>
    <t>PRE_ANLG</t>
  </si>
  <si>
    <t>[TEST_OUT$]</t>
  </si>
  <si>
    <t>[TEST_MAIN$] AS TST1</t>
  </si>
  <si>
    <t>[TEST_SUB$] AS TST2</t>
  </si>
  <si>
    <t>TST1.[COL1],TST2.[COL1]</t>
  </si>
  <si>
    <t>SUB-BBB</t>
  </si>
  <si>
    <t xml:space="preserve"> WHERE  [TYPE] = 'PV'</t>
  </si>
  <si>
    <t>WHERE [TYPE] = 'PV'</t>
  </si>
  <si>
    <t>[TST_DO$]</t>
  </si>
  <si>
    <t>★</t>
  </si>
  <si>
    <t>】【】【】【】【】【】【】【】【】【】【】【】【</t>
  </si>
  <si>
    <t>】【BSQL_DIFF-ALIAS_FILTER】【WHERE [DEV#FULL_ADR] IS NOT NULL OR [ALS#FULL_ADR] IS NOT NULL
ORDER BY [ALS#FULL_ADR]  ASC】【】【】【】【】【】【】【】【】【】【</t>
  </si>
  <si>
    <t>】【BSQL_DIFF-ALIAS_FULLJOIN-1_FROM】【[DB_LST_ALIAS$] AS ALS】【】【】【】【】【】【】【】【】【】【</t>
  </si>
  <si>
    <t>】【BSQL_DIFF-ALIAS_FULLJOIN-1_KEY】【[FULL_ADR]】【】【】【】【】【】【】【】【】【】【</t>
  </si>
  <si>
    <t>&lt;&lt; DIFF ALIAS】【】【】【】【】【】【】【】【】【】【】【】【</t>
  </si>
  <si>
    <t>&gt;&gt; PRE-FP】【】【】【】【】【】【】【】【】【】【】【】【</t>
  </si>
  <si>
    <t>】【BSQL_PRESHT-FP_OUTSHT】【[PRE_FP$]】【】【】【】【】【】【】【】【】【】【</t>
  </si>
  <si>
    <t>】【BSQL_PRESHT-FP_FILTER】【WHERE [FP_TYPE] IS NOT NULL 】【】【】【】【】【】【】【】【】【】【</t>
  </si>
  <si>
    <t>】【BSQL_PRESHT-FP_SELECT】【[FP_TYPE],[ALIAS_BASE],[COMMENT1],[COMMENT2] AS [COMMENT],[PV_MAX],[PV_MIN],[SV_MAX],[SV_MIN],[TREND_MAX],[TREND_MIN],[UNITS],[DECIMAL],[RESET]】【[DB_FP_AI $]】【】【】【】【】【】【】【】【】【</t>
  </si>
  <si>
    <t>】【BSQL_PRESHT-FP_FROM】【[DB_FP_AI $]】【】【】【】【】【】【】【】【】【】【</t>
  </si>
  <si>
    <t>】【BSQL_PRESHT-FP_CONDITION】【】【】【】【】【】【】【】【】【】【】【</t>
  </si>
  <si>
    <t>】【BSQL_PRESHT-FP_UNION-1_SELECT】【[FP_TYPE],[ALIAS_BASE],[COMMENT1],[COMMENT2] AS [COMMENT],[PV_MAX],[PV_MIN],[SV_MAX],[SV_MIN],[TREND_MAX],[TREND_MIN],[UNITS],[DECIMAL],[RESET]】【[DB_FP_AI_AL4$]】【】【】【】【】【】【】【】【】【</t>
  </si>
  <si>
    <t>】【BSQL_PRESHT-FP_UNION-1_FROM】【[DB_FP_AI_AL4$]】【】【】【】【】【】【】【】【】【】【</t>
  </si>
  <si>
    <t>】【BSQL_PRESHT-FP_UNION-1_CONDITION】【】【】【】【】【】【】【】【】【】【】【</t>
  </si>
  <si>
    <t>】【BSQL_PRESHT-FP_UNION-2_SELECT】【[FP_TYPE],[ALIAS_BASE],[COMMENT1],[COMMENT2] AS [COMMENT],[PV_MAX],[PV_MIN],[SV_MAX],[SV_MIN],[TREND_MAX],[TREND_MIN],[UNITS],[DECIMAL],[RESET]】【[DB_FP_AI_Q$]】【】【】【】【】【】【】【】【】【</t>
  </si>
  <si>
    <t>】【BSQL_PRESHT-FP_UNION-2_FROM】【[DB_FP_AI_Q$]】【】【】【】【】【】【】【】【】【】【</t>
  </si>
  <si>
    <t>】【BSQL_PRESHT-FP_UNION-2_CONDITION】【】【】【】【】【】【】【】【】【】【】【</t>
  </si>
  <si>
    <t>】【BSQL_PRESHT-FP_UNION-3_SELECT】【[FP_TYPE],[ALIAS_BASE],[COMMENT1],[COMMENT2] AS [COMMENT],[PV_MAX],[PV_MIN],[SV_MAX],[SV_MIN],[TREND_MAX],[TREND_MIN],[UNITS],[DECIMAL],[RESET]】【[DB_FP_AI_SV $]】【】【】【】【】【】【】【】【】【</t>
  </si>
  <si>
    <t>】【BSQL_PRESHT-FP_UNION-3_FROM】【[DB_FP_AI_SV $]】【】【】【】【】【】【】【】【】【】【</t>
  </si>
  <si>
    <t>】【BSQL_PRESHT-FP_UNION-3_CONDITION】【】【】【】【】【】【】【】【】【】【】【</t>
  </si>
  <si>
    <t>】【BSQL_PRESHT-FP_UNION-4_SELECT】【[FP_TYPE],[ALIAS_BASE],[COMMENT1],[COMMENT2] AS [COMMENT],[PV_MAX],[PV_MIN],[SV_MAX],[SV_MIN],[TREND_MAX],[TREND_MIN],[UNITS],[DECIMAL],[RESET]】【[DB_FP_AI_SV2$]】【】【】【】【】【】【】【】【】【</t>
  </si>
  <si>
    <t>】【BSQL_PRESHT-FP_UNION-4_FROM】【[DB_FP_AI_SV2$]】【】【】【】【】【】【】【】【】【】【</t>
  </si>
  <si>
    <t>】【BSQL_PRESHT-FP_UNION-4_CONDITION】【】【】【】【】【】【】【】【】【】【】【</t>
  </si>
  <si>
    <t>】【BSQL_PRESHT-FP_UNION-5_SELECT】【[FP_TYPE],[ALIAS_BASE],[COMMENT1],[COMMENT2] AS [COMMENT],[PV_MAX],[PV_MIN],[SV_MAX],[SV_MIN],[TREND_MAX],[TREND_MIN],[UNITS],[DECIMAL],[RESET]】【[DB_FP_AI_SV3$]】【】【】【】【】【】【】【】【】【</t>
  </si>
  <si>
    <t>】【BSQL_PRESHT-FP_UNION-5_FROM】【[DB_FP_AI_SV3$]】【】【】【】【】【】【】【】【】【】【</t>
  </si>
  <si>
    <t>】【BSQL_PRESHT-FP_UNION-5_CONDITION】【】【】【】【】【】【】【】【】【】【】【</t>
  </si>
  <si>
    <t>】【BSQL_PRESHT-FP_UNION-6_SELECT】【[FP_TYPE],[ALIAS_BASE],[COMMENT1],[COMMENT2] AS [COMMENT],[PV_MAX],[PV_MIN],[SV_MAX],[SV_MIN],[TREND_MAX],[TREND_MIN],[UNITS],[DECIMAL],[RESET]】【[DB_FP_PID$]】【】【】【】【】【】【】【】【】【</t>
  </si>
  <si>
    <t>】【BSQL_PRESHT-FP_UNION-6_FROM】【[DB_FP_PID$]】【】【】【】【】【】【】【】【】【】【</t>
  </si>
  <si>
    <t>】【BSQL_PRESHT-FP_UNION-6_CONDITION】【】【】【】【】【】【】【】【】【】【】【</t>
  </si>
  <si>
    <t>】【BSQL_PRESHT-FP_UNION-7_SELECT】【[FP_TYPE],[ALIAS_BASE],[COMMENT1],[COMMENT2] AS [COMMENT],[PV_MAX],[PV_MIN],[SV_MAX],[SV_MIN],[TREND_MAX],[TREND_MIN],[UNITS],[DECIMAL],[RESET]】【[DB_FP_SUM$]】【】【】【】【】【】【】【】【】【</t>
  </si>
  <si>
    <t>】【BSQL_PRESHT-FP_UNION-7_FROM】【[DB_FP_SUM$]】【】【】【】【】【】【】【】【】【】【</t>
  </si>
  <si>
    <t>】【BSQL_PRESHT-FP_UNION-7_CONDITION】【】【】【】【】【】【】【】【】【】【】【</t>
  </si>
  <si>
    <t>&lt;&lt; PRE-FP】【】【】【】【】【】【】【】【】【】【】【】【</t>
  </si>
  <si>
    <t>&gt;&gt; DIFF_FP】【】【】【】【】【】【】【】【】【】【】【】【</t>
  </si>
  <si>
    <t>】【BSQL_DIFF-FPTMP-SVR_OUTSHT】【[TMP-ANLG-FP$]】【】【】【】【】【】【】【】【】【】【</t>
  </si>
  <si>
    <t>】【BSQL_DIFF-ALIAS_SELECT】【】【】【】【】【】【】【】【】【】【】【</t>
  </si>
  <si>
    <t>】【BSQL_DIFF-ALIAS_FROM】【[PRE_ANLG$] AS ANLG】【】【】【】【】【】【】【】【】【】【</t>
  </si>
  <si>
    <t>】【BSQL_DIFF-ALIAS_FULLJOIN-1_FROM】【[PRE_FP$] AS FP】【】【】【】【】【】【】【】【】【】【</t>
  </si>
  <si>
    <t>】【BSQL_DIFF-ALIAS_FULLJOIN-1_KEY】【[ALIAS_BASE]】【】【】【】【】【】【】【】【】【】【</t>
  </si>
  <si>
    <t>】【BSQL_DIFF-ANLG-FPM_OUTSHT】【[TSTOUT$]】【】【】【】【】【】【】【】【】【】【</t>
  </si>
  <si>
    <t>】【BSQL_DIFF-ANLG-FPM_FILTER】【 WHERE  [TYPE] = 'PV'】【】【】【】【】【】【】【】【】【】【</t>
  </si>
  <si>
    <t>】【BSQL_DIFF-ANLG-FPM_SELECT】【*】【】【】【】【】【】【】【】【】【】【</t>
  </si>
  <si>
    <t>】【BSQL_DIFF-ANLG-FPM_FROM】【[PRE_ANLG$] AS ANLG】【】【】【】【】【】【】【】【】【】【</t>
  </si>
  <si>
    <t>】【BSQL_DIFF-ANLG-FPM_LEFTJOIN-1_FROM】【[DB_LST_FACEPLATE_MASTER$] AS FPM】【】【】【】【】【】【】【】【】【】【</t>
  </si>
  <si>
    <t>】【BSQL_DIFF-ANLG-FPM_LEFTJOIN-1_KEY】【[STRUCT_TAG_ADR]】【】【】【】【】【】【】【】【】【】【</t>
  </si>
  <si>
    <t>//】【BSQL_DIFF-ANLG-FPM_FORMULACOL】【FRM1,FRM2】【】【】【】【】【】【】【】【】【】【</t>
  </si>
  <si>
    <t>DEV.[FULL_ADR] = ALS.[FULL_ADR]</t>
  </si>
  <si>
    <t>DIFF FP</t>
  </si>
  <si>
    <t>[DB_LST_FACEPLATE_MASTER$] AS SUB</t>
  </si>
  <si>
    <t>[DB_LST_TREND_PENINFO $] AS SUB</t>
  </si>
  <si>
    <t>[PRE_ANLG$] AS MAIN</t>
  </si>
  <si>
    <t>[PRE_FP$] AS SUB</t>
  </si>
  <si>
    <t>MAIN.[FP_TYPE] &amp; '.' &amp; MAIN.[ALIAS_BASE] = SUB.[STRUCT_TAG_ADR]</t>
  </si>
  <si>
    <t>MAIN.[FP_TYPE] &amp; '.' &amp; MAIN.[ALIAS_BASE] = SUB.[FP_TYPE]  &amp; '.' &amp; SUB.[ALIAS_BASE]</t>
  </si>
  <si>
    <t>[DB_LST_TREND_PENINFO_ONEPOINT$] AS SUB</t>
  </si>
  <si>
    <t>TST1.[COL1] = TST2.[COL1]</t>
  </si>
  <si>
    <t>[DB_LST_FIELDMASTER_TAG_SV$] AS [UNION1]</t>
  </si>
  <si>
    <t>[DB_LST_FIELDMASTER_TAG_PV$] AS [UNION2]</t>
  </si>
  <si>
    <t>[DB_LST_FIELDMASTER_TAG_PRT$] AS [UNION3]</t>
  </si>
  <si>
    <t>UNION1.[COL1] , [MAIN].[COL2] , ''</t>
  </si>
  <si>
    <t>小数点比較のみ</t>
  </si>
  <si>
    <t>[TMP_ANLG2TRDOP$]</t>
  </si>
  <si>
    <t>[TMP_ANLG2TRD$]</t>
  </si>
  <si>
    <t>[TMP_ANLG2FPM$]</t>
  </si>
  <si>
    <t>[TMP_ANLG2FP$]</t>
  </si>
  <si>
    <t>】【BSQL_DIFF-ANLG-FPM_KEY】【[FP_TYPE] &amp; '.' &amp; MAIN.[ALIAS_BASE]】【】【】【】【】【】【】【】【】【】【</t>
  </si>
  <si>
    <t>MAIN.[ALIAS_BASE],MAIN.[COMMENT],MAIN.[TYPE],MAIN.[FP_TYPE],MAIN.[PV_MIN] AS [ANLG_PVMIN],MAIN.[PV_MAX] AS [ANLG_PVMAX],MAIN.[DECIMAL] AS [ANLG_DECIMAL],MAIN.[UNITS] AS [ANLG_UNITS]
,SUB.[COMMENT],SUB.[PV_MIN] AS [FP_PVMIN],SUB.[PV_MAX] AS [FP_PVMAX],SUB.[DECIMAL] AS [FP_DECIMAL],SUB.[UNITS] AS [FP_UNITS]</t>
  </si>
  <si>
    <t>?? ALTER ??</t>
  </si>
  <si>
    <t>C:\Users\Owner\Documents\workspace\out.xml</t>
  </si>
  <si>
    <t>XML_PATH_LOAD</t>
  </si>
  <si>
    <t>XML_PATH_SAVE</t>
  </si>
  <si>
    <t>XML_LOAD_FOLDER</t>
  </si>
  <si>
    <t>FIXREPO_FORM-WIDTH</t>
  </si>
  <si>
    <t>FIXREPO_FORM-HEIGHT</t>
  </si>
  <si>
    <t>FIXREPO_PATH_OUTXML</t>
  </si>
  <si>
    <t>FIXREPO_FORM_RESCALE</t>
  </si>
  <si>
    <t>XML_OUT_SHT</t>
  </si>
  <si>
    <t>FIXREPO_OUT_SHT</t>
  </si>
  <si>
    <t>XML_RTNSHT</t>
  </si>
  <si>
    <t>XML_SORTSHT</t>
  </si>
  <si>
    <t>XML_CHILDELM_EXPAND</t>
  </si>
  <si>
    <t>CLT_EXE_CREATESHT</t>
  </si>
  <si>
    <t>DB_EXE_CREATESHT</t>
  </si>
  <si>
    <t>DB_JOINTMAX</t>
  </si>
  <si>
    <t>DB_DELETE_TEMPSHT</t>
  </si>
  <si>
    <t>DB_SORTSHT</t>
  </si>
  <si>
    <t>SQL_EXE_CREATESHT</t>
  </si>
  <si>
    <t>SQL_TMP-ANLG2FP_OUTSHT</t>
  </si>
  <si>
    <t>SQL_TMP-ANLG2FP_FILTER</t>
  </si>
  <si>
    <t>SQL_TMP-ANLG2FP_SELECT</t>
  </si>
  <si>
    <t>SQL_TMP-ANLG2FP_FROM</t>
  </si>
  <si>
    <t>SQL_TMP-ANLG2FP_JOINKEY</t>
  </si>
  <si>
    <t>SQL_TMP-ANLG2FP_FULLJOIN_FROM</t>
  </si>
  <si>
    <t>SQL_TMP-ANLG2FPM_OUTSHT</t>
  </si>
  <si>
    <t>SQL_TMP-ANLG2FPM_FILTER</t>
  </si>
  <si>
    <t>SQL_TMP-ANLG2FPM_SELECT</t>
  </si>
  <si>
    <t>SQL_TMP-ANLG2FPM_FROM</t>
  </si>
  <si>
    <t>SQL_TMP-ANLG2FPM_JOINKEY</t>
  </si>
  <si>
    <t>SQL_TMP-ANLG2FPM_LEFTJOIN_FROM</t>
  </si>
  <si>
    <t>SQL_TMP-ANLG2TRD_OUTSHT</t>
  </si>
  <si>
    <t>SQL_TMP-ANLG2TRD_FILTER</t>
  </si>
  <si>
    <t>SQL_TMP-ANLG2TRD_SELECT</t>
  </si>
  <si>
    <t>SQL_TMP-ANLG2TRD_FROM</t>
  </si>
  <si>
    <t>SQL_TMP-ANLG2TRD_JOINKEY</t>
  </si>
  <si>
    <t>SQL_TMP-ANLG2TRD_LEFTJOIN_FROM</t>
  </si>
  <si>
    <t>SQL_TMP-ANLG2TRDOP_OUTSHT</t>
  </si>
  <si>
    <t>SQL_TMP-ANLG2TRDOP_FILTER</t>
  </si>
  <si>
    <t>SQL_TMP-ANLG2TRDOP_SELECT</t>
  </si>
  <si>
    <t>SQL_TMP-ANLG2TRDOP_FROM</t>
  </si>
  <si>
    <t>SQL_TMP-ANLG2TRDOP_JOINKEY</t>
  </si>
  <si>
    <t>SQL_TMP-ANLG2TRDOP_LEFTJOIN_FROM</t>
  </si>
  <si>
    <t>SQL_TEST1_OUTSHT</t>
  </si>
  <si>
    <t>SQL_TEST1_SELECT</t>
  </si>
  <si>
    <t>SQL_TEST1_FROM</t>
  </si>
  <si>
    <t>SQL_TEST1_UNION-1_SELECT</t>
  </si>
  <si>
    <t>SQL_TEST1_UNION-1_FROM</t>
  </si>
  <si>
    <t>SQL_TEST1_UNION-2_SELECT</t>
  </si>
  <si>
    <t>SQL_TEST1_UNION-2_FROM</t>
  </si>
  <si>
    <t>SQL_TEST1_UNION-3_SELECT</t>
  </si>
  <si>
    <t>SQL_TEST1_UNION-3_FROM</t>
  </si>
  <si>
    <t>SQL_PRESHT-ANLG00</t>
  </si>
  <si>
    <t>SQL_PRESHT-ANLG03</t>
  </si>
  <si>
    <t>SQL_PRESHT-ANLG</t>
  </si>
  <si>
    <t>SQL_PRESHT-DEVICE</t>
  </si>
  <si>
    <t>SQL_DIFF-ALIAS</t>
  </si>
  <si>
    <t>SQL_PRE-CLT</t>
  </si>
  <si>
    <t>SQL_DIFF-CLT</t>
  </si>
  <si>
    <t>SQL_PRESHT-FP</t>
  </si>
  <si>
    <t>SQL_DO</t>
  </si>
  <si>
    <t>SQL_TMP-ANLG2FP</t>
  </si>
  <si>
    <t>SQL_TMP-ANLG2FPM</t>
  </si>
  <si>
    <t>SQL_TMP-ANLG2TRD</t>
  </si>
  <si>
    <t>SQL_TMP-ANLG2TRDOP</t>
  </si>
  <si>
    <t>SQL_SMPL-INNERJOIN</t>
  </si>
  <si>
    <t>SQL_DO_OUTSHT</t>
  </si>
  <si>
    <t>SQL_DO_CONDITION</t>
  </si>
  <si>
    <t>SQL_DO_SELECT</t>
  </si>
  <si>
    <t>SQL_DO_FROM</t>
  </si>
  <si>
    <t>&gt;&gt; PRE FP</t>
  </si>
  <si>
    <t>SQL_PRESHT-DEVICE_OUTSHT</t>
  </si>
  <si>
    <t>SQL_PRESHT-DEVICE_FILTER</t>
  </si>
  <si>
    <t>SQL_PRESHT-DEVICE_FORMULACOL</t>
  </si>
  <si>
    <t>SQL_PRESHT-DEVICE_SELECT</t>
  </si>
  <si>
    <t>SQL_PRESHT-DEVICE_FROM</t>
  </si>
  <si>
    <t>SQL_PRESHT-DEVICE_UNION-1_SELECT</t>
  </si>
  <si>
    <t>SQL_PRESHT-DEVICE_UNION-1_FROM</t>
  </si>
  <si>
    <t>SQL_PRESHT-DEVICE_UNION-2_SELECT</t>
  </si>
  <si>
    <t>SQL_PRESHT-DEVICE_UNION-2_FROM</t>
  </si>
  <si>
    <t>SQL_PRESHT-DEVICE_UNION-3_SELECT</t>
  </si>
  <si>
    <t>SQL_PRESHT-DEVICE_UNION-3_FROM</t>
  </si>
  <si>
    <t>SQL_PRESHT-DEVICE_UNION-4_SELECT</t>
  </si>
  <si>
    <t>SQL_PRESHT-DEVICE_UNION-4_FROM</t>
  </si>
  <si>
    <t>SQL_PRESHT-DEVICE_UNION-5_SELECT</t>
  </si>
  <si>
    <t>SQL_PRESHT-DEVICE_UNION-5_FROM</t>
  </si>
  <si>
    <t>SQL_PRESHT-DEVICE_UNION-6_SELECT</t>
  </si>
  <si>
    <t>SQL_PRESHT-DEVICE_UNION-6_FROM</t>
  </si>
  <si>
    <t>SQL_PRESHT-DEVICE_UNION-7_SELECT</t>
  </si>
  <si>
    <t>SQL_PRESHT-DEVICE_UNION-7_FROM</t>
  </si>
  <si>
    <t>SQL_PRESHT-DEVICE_UNION-8_SELECT</t>
  </si>
  <si>
    <t>SQL_PRESHT-DEVICE_UNION-8_FROM</t>
  </si>
  <si>
    <t>SQL_PRESHT-DEVICE_UNION-9_SELECT</t>
  </si>
  <si>
    <t>SQL_PRESHT-DEVICE_UNION-9_FROM</t>
  </si>
  <si>
    <t>SQL_PRESHT-DEVICE_UNION-10_SELECT</t>
  </si>
  <si>
    <t>SQL_PRESHT-DEVICE_UNION-10_FROM</t>
  </si>
  <si>
    <t>SQL_PRESHT-DEVICE_UNION-11_SELECT</t>
  </si>
  <si>
    <t>SQL_PRESHT-DEVICE_UNION-11_FROM</t>
  </si>
  <si>
    <t>SQL_PRESHT-DEVICE_UNION-12_SELECT</t>
  </si>
  <si>
    <t>SQL_PRESHT-DEVICE_UNION-12_FROM</t>
  </si>
  <si>
    <t>SQL_PRESHT-DEVICE_UNION-13_SELECT</t>
  </si>
  <si>
    <t>SQL_PRESHT-DEVICE_UNION-13_FROM</t>
  </si>
  <si>
    <t>SQL_PRESHT-DEVICE_UNION-14_SELECT</t>
  </si>
  <si>
    <t>SQL_PRESHT-DEVICE_UNION-14_FROM</t>
  </si>
  <si>
    <t>SQL_PRESHT-DEVICE_UNION-15_SELECT</t>
  </si>
  <si>
    <t>SQL_PRESHT-DEVICE_UNION-15_FROM</t>
  </si>
  <si>
    <t>SQL_PRESHT-DEVICE_UNION-16_SELECT</t>
  </si>
  <si>
    <t>SQL_PRESHT-DEVICE_UNION-16_FROM</t>
  </si>
  <si>
    <t>SQL_PRESHT-DEVICE_UNION-17_SELECT</t>
  </si>
  <si>
    <t>SQL_PRESHT-DEVICE_UNION-17_FROM</t>
  </si>
  <si>
    <t>SQL_TEST1_FREE</t>
  </si>
  <si>
    <t>SQL_TEST1_CONDITION</t>
  </si>
  <si>
    <t>SQL_TEST2_OUTSHT</t>
  </si>
  <si>
    <t>SQL_TEST2_SELECT</t>
  </si>
  <si>
    <t>SQL_TEST2_FROM</t>
  </si>
  <si>
    <t>SQL_TEST2_FREE</t>
  </si>
  <si>
    <t>SQL_TSTOUT1_OUTSHT</t>
  </si>
  <si>
    <t>SQL_TSTOUT1_CONDITION</t>
  </si>
  <si>
    <t>SQL_TSTOUT1_SELECT</t>
  </si>
  <si>
    <t>SQL_TSTOUT1_FROM</t>
  </si>
  <si>
    <t>SQL_TSTOUT1_FULLJOIN_KEY</t>
  </si>
  <si>
    <t>SQL_TSTOUT1_FULLJOIN_FROM</t>
  </si>
  <si>
    <t>SQL_TSTOUT3_OUTSHT</t>
  </si>
  <si>
    <t>SQL_TSTOUT3_CONDITION</t>
  </si>
  <si>
    <t>SQL_TSTOUT3_SELECT</t>
  </si>
  <si>
    <t>SQL_TSTOUT3_FROM</t>
  </si>
  <si>
    <t>SQL_TSTOUT3_FORMULACOL</t>
  </si>
  <si>
    <t>SQL_SMPL-LEFTJOIN_OUTSHT</t>
  </si>
  <si>
    <t>SQL_SMPL-LEFTJOIN_CONDITION</t>
  </si>
  <si>
    <t>SQL_SMPL-LEFTJOIN_SELECT</t>
  </si>
  <si>
    <t>SQL_SMPL-LEFTJOIN_FROM</t>
  </si>
  <si>
    <t>SQL_SMPL-LEFTJOIN_KEY</t>
  </si>
  <si>
    <t>SQL_SMPL-LEFTJOIN_LEFTJOIN_FROM</t>
  </si>
  <si>
    <t>SQL_SMPL-LEFTJOIN_FORMULACOL</t>
  </si>
  <si>
    <t>SQL_SMPL-INNERJOIN_OUTSHT</t>
  </si>
  <si>
    <t>SQL_SMPL-INNERJOIN_CONDITION</t>
  </si>
  <si>
    <t>SQL_SMPL-INNERJOIN_SELECT</t>
  </si>
  <si>
    <t>SQL_SMPL-INNERJOIN_FROM</t>
  </si>
  <si>
    <t>SQL_SMPL-INNERJOIN_KEY</t>
  </si>
  <si>
    <t>SQL_SMPL-INNERJOIN_INNERJOIN_FROM</t>
  </si>
  <si>
    <t>SQL_SMPL-INNERJOIN_FORMULACOL</t>
  </si>
  <si>
    <t>SQL_PRESHT-ANLG00_OUTSHT</t>
  </si>
  <si>
    <t>SQL_PRESHT-ANLG00_FILTER</t>
  </si>
  <si>
    <t>SQL_PRESHT-ANLG00_SELECT</t>
  </si>
  <si>
    <t>SQL_PRESHT-ANLG00_FROM</t>
  </si>
  <si>
    <t>SQL_PRESHT-ANLG00_CONDITION</t>
  </si>
  <si>
    <t>SQL_PRESHT-ANLG00_UNION-1_SELECT</t>
  </si>
  <si>
    <t>SQL_PRESHT-ANLG00_UNION-1_FROM</t>
  </si>
  <si>
    <t>SQL_PRESHT-ANLG00_UNION-1_CONDITION</t>
  </si>
  <si>
    <t>SQL_PRESHT-ANLG00_UNION-2_SELECT</t>
  </si>
  <si>
    <t>SQL_PRESHT-ANLG00_UNION-2_FROM</t>
  </si>
  <si>
    <t>SQL_PRESHT-ANLG00_UNION-2_CONDITION</t>
  </si>
  <si>
    <t>SQL_PRESHT-ANLG00_UNION-3_SELECT</t>
  </si>
  <si>
    <t>SQL_PRESHT-ANLG00_UNION-3_FROM</t>
  </si>
  <si>
    <t>SQL_PRESHT-ANLG00_UNION-3_CONDITION</t>
  </si>
  <si>
    <t>SQL_PRESHT-ANLG00_UNION-4_SELECT</t>
  </si>
  <si>
    <t>SQL_PRESHT-ANLG00_UNION-4_FROM</t>
  </si>
  <si>
    <t>SQL_PRESHT-ANLG00_UNION-4_CONDITION</t>
  </si>
  <si>
    <t>SQL_PRESHT-ANLG00_UNION-5_SELECT</t>
  </si>
  <si>
    <t>SQL_PRESHT-ANLG00_UNION-5_FROM</t>
  </si>
  <si>
    <t>SQL_PRESHT-ANLG00_UNION-5_CONDITION</t>
  </si>
  <si>
    <t>SQL_PRESHT-ANLG00_UNION-6_SELECT</t>
  </si>
  <si>
    <t>SQL_PRESHT-ANLG00_UNION-6_FROM</t>
  </si>
  <si>
    <t>SQL_PRESHT-ANLG00_UNION-6_CONDITION</t>
  </si>
  <si>
    <t>SQL_PRESHT-ANLG00_UNION-7_SELECT</t>
  </si>
  <si>
    <t>SQL_PRESHT-ANLG00_UNION-7_FROM</t>
  </si>
  <si>
    <t>SQL_PRESHT-ANLG00_UNION-7_CONDITION</t>
  </si>
  <si>
    <t>SQL_PRESHT-ANLG00_UNION-8_SELECT</t>
  </si>
  <si>
    <t>SQL_PRESHT-ANLG00_UNION-8_FROM</t>
  </si>
  <si>
    <t>SQL_PRESHT-ANLG00_UNION-8_CONDITION</t>
  </si>
  <si>
    <t>SQL_PRESHT-ANLG00_UNION-9_SELECT</t>
  </si>
  <si>
    <t>SQL_PRESHT-ANLG00_UNION-9_FROM</t>
  </si>
  <si>
    <t>SQL_PRESHT-ANLG00_UNION-9_CONDITION</t>
  </si>
  <si>
    <t>SQL_PRESHT-ANLG00_UNION-10_SELECT</t>
  </si>
  <si>
    <t>SQL_PRESHT-ANLG00_UNION-10_FROM</t>
  </si>
  <si>
    <t>SQL_PRESHT-ANLG00_UNION-10_CONDITION</t>
  </si>
  <si>
    <t>SQL_PRESHT-ANLG00_UNION-11_SELECT</t>
  </si>
  <si>
    <t>SQL_PRESHT-ANLG00_UNION-11_FROM</t>
  </si>
  <si>
    <t>SQL_PRESHT-ANLG00_UNION-11_CONDITION</t>
  </si>
  <si>
    <t>SQL_PRESHT-ANLG00_UNION-12_SELECT</t>
  </si>
  <si>
    <t>SQL_PRESHT-ANLG00_UNION-12_FROM</t>
  </si>
  <si>
    <t>SQL_PRESHT-ANLG00_UNION-12_CONDITION</t>
  </si>
  <si>
    <t>SQL_PRESHT-ANLG00_UNION-13_SELECT</t>
  </si>
  <si>
    <t>SQL_PRESHT-ANLG00_UNION-13_FROM</t>
  </si>
  <si>
    <t>SQL_PRESHT-ANLG00_UNION-13_CONDITION</t>
  </si>
  <si>
    <t>SQL_PRESHT-ANLG00_UNION-14_SELECT</t>
  </si>
  <si>
    <t>SQL_PRESHT-ANLG00_UNION-14_FROM</t>
  </si>
  <si>
    <t>SQL_PRESHT-ANLG00_UNION-14_CONDITION</t>
  </si>
  <si>
    <t>SQL_PRESHT-ANLG00_UNION-15_SELECT</t>
  </si>
  <si>
    <t>SQL_PRESHT-ANLG00_UNION-15_FROM</t>
  </si>
  <si>
    <t>SQL_PRESHT-ANLG00_UNION-15_CONDITION</t>
  </si>
  <si>
    <t>SQL_PRESHT-ANLG00_UNION-16_SELECT</t>
  </si>
  <si>
    <t>SQL_PRESHT-ANLG00_UNION-16_FROM</t>
  </si>
  <si>
    <t>SQL_PRESHT-ANLG00_UNION-16_CONDITION</t>
  </si>
  <si>
    <t>SQL_PRESHT-ANLG00_UNION-17_SELECT</t>
  </si>
  <si>
    <t>SQL_PRESHT-ANLG00_UNION-17_FROM</t>
  </si>
  <si>
    <t>SQL_PRESHT-ANLG00_UNION-17_CONDITION</t>
  </si>
  <si>
    <t>SQL_PRESHT-ANLG00_UNION-18_SELECT</t>
  </si>
  <si>
    <t>SQL_PRESHT-ANLG00_UNION-18_FROM</t>
  </si>
  <si>
    <t>SQL_PRESHT-ANLG00_UNION-18_CONDITION</t>
  </si>
  <si>
    <t>SQL_PRESHT-ANLG00_UNION-19_SELECT</t>
  </si>
  <si>
    <t>SQL_PRESHT-ANLG00_UNION-19_FROM</t>
  </si>
  <si>
    <t>SQL_PRESHT-ANLG00_UNION-19_CONDITION</t>
  </si>
  <si>
    <t>SQL_PRESHT-ANLG00_UNION-20_SELECT</t>
  </si>
  <si>
    <t>SQL_PRESHT-ANLG00_UNION-20_FROM</t>
  </si>
  <si>
    <t>SQL_PRESHT-ANLG00_UNION-20_CONDITION</t>
  </si>
  <si>
    <t>SQL_PRESHT-ANLG00_UNION-21_SELECT</t>
  </si>
  <si>
    <t>SQL_PRESHT-ANLG00_UNION-21_FROM</t>
  </si>
  <si>
    <t>SQL_PRESHT-ANLG00_UNION-21_CONDITION</t>
  </si>
  <si>
    <t>SQL_PRESHT-ANLG03_OUTSHT</t>
  </si>
  <si>
    <t>NOUUSE_SQL_PRESHT-ANLG03_FILTER</t>
  </si>
  <si>
    <t>SQL_PRESHT-ANLG03_SELECT</t>
  </si>
  <si>
    <t>SQL_PRESHT-ANLG03_FROM</t>
  </si>
  <si>
    <t>SQL_PRESHT-ANLG03_CONDITION</t>
  </si>
  <si>
    <t>SQL_PRESHT-ANLG03_UNION-1_SELECT</t>
  </si>
  <si>
    <t>SQL_PRESHT-ANLG03_UNION-1_FROM</t>
  </si>
  <si>
    <t>SQL_PRESHT-ANLG03_UNION-1_CONDITION</t>
  </si>
  <si>
    <t>SQL_PRESHT-ANLG03_UNION-2_SELECT</t>
  </si>
  <si>
    <t>SQL_PRESHT-ANLG03_UNION-2_FROM</t>
  </si>
  <si>
    <t>SQL_PRESHT-ANLG03_UNION-2_CONDITION</t>
  </si>
  <si>
    <t>SQL_PRESHT-ANLG03_UNION-3_SELECT</t>
  </si>
  <si>
    <t>SQL_PRESHT-ANLG03_UNION-3_FROM</t>
  </si>
  <si>
    <t>SQL_PRESHT-ANLG03_UNION-3_CONDITION</t>
  </si>
  <si>
    <t>SQL_PRESHT-ANLG03_UNION-4_SELECT</t>
  </si>
  <si>
    <t>SQL_PRESHT-ANLG03_UNION-4_FROM</t>
  </si>
  <si>
    <t>SQL_PRESHT-ANLG03_UNION-4_CONDITION</t>
  </si>
  <si>
    <t>SQL_PRESHT-ANLG03_UNION-5_SELECT</t>
  </si>
  <si>
    <t>SQL_PRESHT-ANLG03_UNION-5_FROM</t>
  </si>
  <si>
    <t>SQL_PRESHT-ANLG03_UNION-5_CONDITION</t>
  </si>
  <si>
    <t>SQL_PRESHT-ANLG03_UNION-6_SELECT</t>
  </si>
  <si>
    <t>SQL_PRESHT-ANLG03_UNION-6_FROM</t>
  </si>
  <si>
    <t>SQL_PRESHT-ANLG03_UNION-6_CONDITION</t>
  </si>
  <si>
    <t>SQL_PRESHT-ANLG03_UNION-7_SELECT</t>
  </si>
  <si>
    <t>SQL_PRESHT-ANLG03_UNION-7_FROM</t>
  </si>
  <si>
    <t>SQL_PRESHT-ANLG03_UNION-7_CONDITION</t>
  </si>
  <si>
    <t>SQL_PRESHT-ANLG03_UNION-8_SELECT</t>
  </si>
  <si>
    <t>SQL_PRESHT-ANLG03_UNION-8_FROM</t>
  </si>
  <si>
    <t>SQL_PRESHT-ANLG03_UNION-8_CONDITION</t>
  </si>
  <si>
    <t>SQL_PRESHT-ANLG03_UNION-9_SELECT</t>
  </si>
  <si>
    <t>SQL_PRESHT-ANLG03_UNION-9_FROM</t>
  </si>
  <si>
    <t>SQL_PRESHT-ANLG03_UNION-9_CONDITION</t>
  </si>
  <si>
    <t>SQL_PRESHT-ANLG03_UNION-10_SELECT</t>
  </si>
  <si>
    <t>SQL_PRESHT-ANLG03_UNION-10_FROM</t>
  </si>
  <si>
    <t>SQL_PRESHT-ANLG03_UNION-10_CONDITION</t>
  </si>
  <si>
    <t>SQL_PRESHT-ANLG03_UNION-11_SELECT</t>
  </si>
  <si>
    <t>SQL_PRESHT-ANLG03_UNION-11_FROM</t>
  </si>
  <si>
    <t>SQL_PRESHT-ANLG03_UNION-11_CONDITION</t>
  </si>
  <si>
    <t>SQL_PRESHT-ANLG03_UNION-12_SELECT</t>
  </si>
  <si>
    <t>SQL_PRESHT-ANLG03_UNION-12_FROM</t>
  </si>
  <si>
    <t>SQL_PRESHT-ANLG03_UNION-12_CONDITION</t>
  </si>
  <si>
    <t>SQL_PRESHT-ANLG03_UNION-13_SELECT</t>
  </si>
  <si>
    <t>SQL_PRESHT-ANLG03_UNION-13_FROM</t>
  </si>
  <si>
    <t>SQL_PRESHT-ANLG03_UNION-13_CONDITION</t>
  </si>
  <si>
    <t>SQL_PRESHT-ANLG03_UNION-14_SELECT</t>
  </si>
  <si>
    <t>SQL_PRESHT-ANLG03_UNION-14_FROM</t>
  </si>
  <si>
    <t>SQL_PRESHT-ANLG03_UNION-14_CONDITION</t>
  </si>
  <si>
    <t>SQL_PRESHT-ANLG03_UNION-15_SELECT</t>
  </si>
  <si>
    <t>SQL_PRESHT-ANLG03_UNION-15_FROM</t>
  </si>
  <si>
    <t>SQL_PRESHT-ANLG03_UNION-15_CONDITION</t>
  </si>
  <si>
    <t>SQL_PRESHT-ANLG03_UNION-16_SELECT</t>
  </si>
  <si>
    <t>SQL_PRESHT-ANLG03_UNION-16_FROM</t>
  </si>
  <si>
    <t>SQL_PRESHT-ANLG03_UNION-16_CONDITION</t>
  </si>
  <si>
    <t>SQL_PRESHT-ANLG03_UNION-17_SELECT</t>
  </si>
  <si>
    <t>SQL_PRESHT-ANLG03_UNION-17_FROM</t>
  </si>
  <si>
    <t>SQL_PRESHT-ANLG03_UNION-17_CONDITION</t>
  </si>
  <si>
    <t>SQL_PRESHT-ANLG03_UNION-18_SELECT</t>
  </si>
  <si>
    <t>SQL_PRESHT-ANLG03_UNION-18_FROM</t>
  </si>
  <si>
    <t>SQL_PRESHT-ANLG03_UNION-18_CONDITION</t>
  </si>
  <si>
    <t>SQL_PRESHT-ANLG03_UNION-19_SELECT</t>
  </si>
  <si>
    <t>SQL_PRESHT-ANLG03_UNION-19_FROM</t>
  </si>
  <si>
    <t>SQL_PRESHT-ANLG03_UNION-19_CONDITION</t>
  </si>
  <si>
    <t>SQL_PRESHT-ANLG03_UNION-20_SELECT</t>
  </si>
  <si>
    <t>SQL_PRESHT-ANLG03_UNION-20_FROM</t>
  </si>
  <si>
    <t>SQL_PRESHT-ANLG03_UNION-20_CONDITION</t>
  </si>
  <si>
    <t>SQL_PRESHT-ANLG03_UNION-21_SELECT</t>
  </si>
  <si>
    <t>SQL_PRESHT-ANLG03_UNION-21_FROM</t>
  </si>
  <si>
    <t>SQL_PRESHT-ANLG03_UNION-21_CONDITION</t>
  </si>
  <si>
    <t>SQL_PRESHT-ANLG_OUTSHT</t>
  </si>
  <si>
    <t>SQL_PRE-CLT_OUTSHT</t>
  </si>
  <si>
    <t>SQL_PRE-CLT_SELECT</t>
  </si>
  <si>
    <t>SQL_PRE-CLT_FROM</t>
  </si>
  <si>
    <t>SQL_PRE-CLT_UNION-1_SELECT</t>
  </si>
  <si>
    <t>SQL_PRE-CLT_UNION-1_FROM</t>
  </si>
  <si>
    <t>SQL_PRE-CLT_UNION-2_SELECT</t>
  </si>
  <si>
    <t>SQL_PRE-CLT_UNION-2_FROM</t>
  </si>
  <si>
    <t>SQL_PRE-CLT_UNION-3_SELECT</t>
  </si>
  <si>
    <t>SQL_PRE-CLT_UNION-3_FROM</t>
  </si>
  <si>
    <t>SQL_PRE-CLT_UNION-4_SELECT</t>
  </si>
  <si>
    <t>SQL_PRE-CLT_UNION-4_FROM</t>
  </si>
  <si>
    <t>SQL_PRE-CLT_UNION-5_SELECT</t>
  </si>
  <si>
    <t>SQL_PRE-CLT_UNION-5_FROM</t>
  </si>
  <si>
    <t>SQL_DIFF-CLT_OUTSHT</t>
  </si>
  <si>
    <t>SQL_DIFF-CLT_FILTER</t>
  </si>
  <si>
    <t>SQL_DIFF-CLT_SELECT</t>
  </si>
  <si>
    <t>SQL_DIFF-CLT_FROM</t>
  </si>
  <si>
    <t>SQL_DIFF-CLT_FULLJOIN-1_FROM</t>
  </si>
  <si>
    <t>SQL_DIFF-CLT_FULLJOIN-1_KEY</t>
  </si>
  <si>
    <t>SQL_DIFF-ALIAS_OUTSHT</t>
  </si>
  <si>
    <t>SQL_DIFF-ALIAS_FILTER</t>
  </si>
  <si>
    <t>SQL_DIFF-ALIAS_SELECT</t>
  </si>
  <si>
    <t>SQL_DIFF-ALIAS_FROM</t>
  </si>
  <si>
    <t>SQL_DIFF-ALIAS_KEY</t>
  </si>
  <si>
    <t>SQL_DIFF-ALIAS_FULLJOIN_FROM</t>
  </si>
  <si>
    <t>SQL_PRESHT-FP_OUTSHT</t>
  </si>
  <si>
    <t>SQL_PRESHT-FP_FILTER</t>
  </si>
  <si>
    <t>SQL_PRESHT-FP_SELECT</t>
  </si>
  <si>
    <t>SQL_PRESHT-FP_FROM</t>
  </si>
  <si>
    <t>SQL_PRESHT-FP_CONDITION</t>
  </si>
  <si>
    <t>SQL_PRESHT-FP_UNION-1_SELECT</t>
  </si>
  <si>
    <t>SQL_PRESHT-FP_UNION-1_FROM</t>
  </si>
  <si>
    <t>SQL_PRESHT-FP_UNION-1_CONDITION</t>
  </si>
  <si>
    <t>SQL_PRESHT-FP_UNION-2_SELECT</t>
  </si>
  <si>
    <t>SQL_PRESHT-FP_UNION-2_FROM</t>
  </si>
  <si>
    <t>SQL_PRESHT-FP_UNION-2_CONDITION</t>
  </si>
  <si>
    <t>SQL_PRESHT-FP_UNION-3_SELECT</t>
  </si>
  <si>
    <t>SQL_PRESHT-FP_UNION-3_FROM</t>
  </si>
  <si>
    <t>SQL_PRESHT-FP_UNION-3_CONDITION</t>
  </si>
  <si>
    <t>SQL_PRESHT-FP_UNION-4_SELECT</t>
  </si>
  <si>
    <t>SQL_PRESHT-FP_UNION-4_FROM</t>
  </si>
  <si>
    <t>SQL_PRESHT-FP_UNION-4_CONDITION</t>
  </si>
  <si>
    <t>SQL_PRESHT-FP_UNION-5_SELECT</t>
  </si>
  <si>
    <t>SQL_PRESHT-FP_UNION-5_FROM</t>
  </si>
  <si>
    <t>SQL_PRESHT-FP_UNION-5_CONDITION</t>
  </si>
  <si>
    <t>SQL_PRESHT-FP_UNION-6_SELECT</t>
  </si>
  <si>
    <t>SQL_PRESHT-FP_UNION-6_FROM</t>
  </si>
  <si>
    <t>SQL_PRESHT-FP_UNION-6_CONDITION</t>
  </si>
  <si>
    <t>SQL_PRESHT-FP_UNION-7_SELECT</t>
  </si>
  <si>
    <t>SQL_PRESHT-FP_UNION-7_FROM</t>
  </si>
  <si>
    <t>SQL_PRESHT-FP_UNION-7_CONDITION</t>
  </si>
  <si>
    <t>SQL_JOINTMAX</t>
  </si>
  <si>
    <t>SQL_DELETE_TEMPSHT</t>
  </si>
  <si>
    <t>SQL_SORTSHT</t>
  </si>
  <si>
    <t>SQL_RTNSHT</t>
  </si>
  <si>
    <t>SQL_EXE_ROOT</t>
  </si>
  <si>
    <t>SQL_QUERY_IGRNORE</t>
  </si>
  <si>
    <t>SQL_QUERY_ROOT</t>
  </si>
  <si>
    <t>DB_EXE_ROOT</t>
  </si>
  <si>
    <t>CLT_EXE_ROOT</t>
  </si>
  <si>
    <t>%F:[FULL_ADR],[A],[=retDev2FullAdrFormat("PLC03", left(RC[-1],1),RC[-1],6)]</t>
  </si>
  <si>
    <t>%I:[FULL_ADR],[A],[=retDev2FullAdrFormat("PLC03", left(RC[-4],1),RC[-4],6)]</t>
  </si>
  <si>
    <t>%E:[FULL_ADR],[A],[=retDev2FullAdrFormat("PLC00", left(RC1,1),RC1,6)]</t>
  </si>
  <si>
    <t>%F:[FULL_ADR],[A],[=retDev2FullAdrFormat("PLC03", left(RC1,1),RC1,6)]</t>
  </si>
  <si>
    <t>%E:[FULL_ADR],[A],[=retDev2FullAdrFormat("PLC03", left(RC1,1),RC1,6)]</t>
  </si>
  <si>
    <t>%P:[FULL_ADR],[A],[=retDev2FullAdrFormat("PLC03", left(RC[-1],1),RC[-1],6)]</t>
  </si>
  <si>
    <t>%D:[PLC],[A],[=IF(RC1="*",R[-1]C,fSplit(RC1,1,"#"))]</t>
  </si>
  <si>
    <t>%E:[FOLDER],[A],[=IF(RC2="*",R[-1]C,fSplit(RC2,1,"#"))]</t>
  </si>
  <si>
    <t>%F:[NAME],[A],[=IF(RC3="*",R[-1]C,fSplit(RC3,1,"#"))]</t>
  </si>
  <si>
    <t>%G:[FULL_ADR],[A],[=RC4 &amp; "." &amp; RC5 &amp; "." &amp; RC6]</t>
  </si>
  <si>
    <t>%H:[UNITS],[A],[=fSplitBetween(RC3,1,"+EU=","+C=")]</t>
  </si>
  <si>
    <t>%I:[COMMENT],[A],[=fSplit(RC3,2,"+C=",TRUE)]</t>
  </si>
  <si>
    <t>%J:[DEC1],[A],[=fSplitCsvPrmDec(RC3,1)]</t>
  </si>
  <si>
    <t>%K:[DEC2],[A],[=fSplitCsvPrmDec(RC3,2)]</t>
  </si>
  <si>
    <t>%L:[DEC3],[A],[=fSplitCsvPrmDec(RC3,3)]</t>
  </si>
  <si>
    <t>%M:[DECIMAL],[A],[=IF(NOT(SUBSTITUTE(RC10,"-","")=SUBSTITUTE(RC11,"-","")),"NG",SUBSTITUTE(RC10,"-",""))]</t>
  </si>
  <si>
    <t>%N:[BINALY],[A],[=fSplitCsvPrmBin(RC3)]</t>
  </si>
  <si>
    <t>%N:[TREND_NAME],[A],[=SUBSTITUTE(fSplit(RC10,2,"::"),fSplit(fSplit(RC10,2,"::"),1,".") &amp;".","")]</t>
  </si>
  <si>
    <t>%O:[FP_TYPE],[A],[=fSplitBetween(RC10,1,"::",".")]</t>
  </si>
  <si>
    <t>%P:[ALIAS_BASE],[A],[=IF(NOT(LEFT(RC1,1)="["),fSplit(RC1,1," "),"")]</t>
  </si>
  <si>
    <t>%Q:[COMMENT],[A],[=IF(NOT(LEFT(RC1,1)="["),TRIM(SUBSTITUTE(RC1,fSplit(RC1,1," "),"")),"")]</t>
  </si>
  <si>
    <t>%D:[TREND_NAME],[A],[=SUBSTITUTE(fSplit(RC1,2,"::"),fSplit(fSplit(RC1,2,"::"),1,".") &amp;".","")]</t>
  </si>
  <si>
    <t>%E:[FP_TYPE],[A],[=fSplitBetween(RC1,1,"::",".")]</t>
  </si>
  <si>
    <t>%F:[ALIAS_BASE],[A],[=fSplit(RC4,1,".")]</t>
  </si>
  <si>
    <t>%I:[FULL_ADR],[A],[=retDFRALIAS2FULLADR(RC[-1])]</t>
  </si>
  <si>
    <t>%I:[FULL_ADR],[A],[=fkey2val("PGPRM_ALIAS2FULLADR",RC[-5],"LinkShtClt")]</t>
  </si>
  <si>
    <t>%G:[FULL_ADR],[A],[=retDFRALIAS2FULLADR(RC[-3])]</t>
  </si>
  <si>
    <t>%D:[FULL_ADR],[A],[=retDev2FullAdrFormat("PLC00", "R",RC1,6)]</t>
  </si>
  <si>
    <t>%D:[FULL_ADR],[A],[=retDev2FullAdrFormat("PLC00", "M",RC1,6)]</t>
  </si>
  <si>
    <t>%D:[FULL_ADR],[A],[=retDev2FullAdrFormat("PLC03", "R",RC1,6)]</t>
  </si>
  <si>
    <t>%D:[FULL_ADR],[A],[=retDev2FullAdrFormat("PLC03", "M",RC1,6)]</t>
  </si>
  <si>
    <t>%D:[FULL_ADR],[A],[=retDev2FullAdrFormat("PLC03", "B",RC1,6)]</t>
  </si>
  <si>
    <t>%D:[FULL_ADR],[A],[=retDev2FullAdrFormat("PLC03", "W",RC1,6)]</t>
  </si>
  <si>
    <t>%I:[FULL_ADR],[A],[=retDev2FullAdrFormat("PLC03", "B",RC[-1],6)]</t>
  </si>
  <si>
    <t>%F:[FULL_ADR],[A],[=retDev2FullAdrFormat("PLC03", "B",RC[-1],6)]</t>
  </si>
  <si>
    <t>%I:[FULL_ADR],[A],[=retDev2FullAdrFormat("PLC03", "W",RC[-4],6)]</t>
  </si>
  <si>
    <t>%B:[FULL_ADR],[A],[=retDev2FullAdrFormat("PLC00", "X",RC1,6)]</t>
  </si>
  <si>
    <t>%B:[FULL_ADR],[A],[=retDev2FullAdrFormat("PLC00", "Y",RC1,6)]</t>
  </si>
  <si>
    <t>%F:[FULL_ADR],[A],[=retDev2FullAdrFormat("PLC00", "B",RC1,6)]</t>
  </si>
  <si>
    <t xml:space="preserve"> 'PLC00.R.' &amp; [PV_DEVICE] AS [FULL_ADR]</t>
  </si>
  <si>
    <t xml:space="preserve"> 'PLC00_ANLG' AS [SHEET]</t>
  </si>
  <si>
    <t xml:space="preserve"> [ALIAS_BASE]  &amp; '_PV'  AS [ALIAS]</t>
  </si>
  <si>
    <t xml:space="preserve"> 'PV' AS [TYPE]</t>
  </si>
  <si>
    <t xml:space="preserve"> [COMMENT] &amp; '_PV' AS [COMMENT]</t>
  </si>
  <si>
    <t xml:space="preserve"> 'PLC03.R.' &amp; [PV_DEVICE] AS [FULL_ADR]</t>
  </si>
  <si>
    <t xml:space="preserve"> 'PLC03_ANLG' AS [SHEET]</t>
  </si>
  <si>
    <t xml:space="preserve"> 'PLC00.R.' &amp; [SV_DEVICE]</t>
  </si>
  <si>
    <t xml:space="preserve"> 'PLC00.R.' &amp; [MV_DEVICE]</t>
  </si>
  <si>
    <t xml:space="preserve"> 'PLC00.R.' &amp; [MV1_DEVICE]</t>
  </si>
  <si>
    <t xml:space="preserve"> 'PLC00.R.' &amp; [MV2_DEVICE]</t>
  </si>
  <si>
    <t xml:space="preserve"> 'PLC00.R.' &amp; [MH_DEVICE]</t>
  </si>
  <si>
    <t xml:space="preserve"> 'PLC00.R.' &amp; [ML_DEVICE]</t>
  </si>
  <si>
    <t xml:space="preserve"> 'PLC00.M.' &amp; [AL_CAL_M_DEVICE]</t>
  </si>
  <si>
    <t xml:space="preserve"> 'PLC00.M.' &amp; [AL_H_DEVICE]</t>
  </si>
  <si>
    <t xml:space="preserve"> 'PLC00.M.' &amp; [AL_HH_DEVICE]</t>
  </si>
  <si>
    <t xml:space="preserve"> 'PLC00.M.' &amp; [AL_L_DEVICE]</t>
  </si>
  <si>
    <t xml:space="preserve"> 'PLC00.M.' &amp; [AL_LL_DEVICE]</t>
  </si>
  <si>
    <t xml:space="preserve"> 'PLC00.M.' &amp; [PLC_CAL_M_DEVICE]</t>
  </si>
  <si>
    <t xml:space="preserve"> 'PLC00.M.' &amp; [PLC_H_DEVICE]</t>
  </si>
  <si>
    <t xml:space="preserve"> 'PLC00.M.' &amp; [PLC_HH_DEVICE]</t>
  </si>
  <si>
    <t xml:space="preserve"> 'PLC00.M.' &amp; [PLC_L_DEVICE]</t>
  </si>
  <si>
    <t xml:space="preserve"> 'PLC00.M.' &amp; [PLC_LL_DEVICE]</t>
  </si>
  <si>
    <t xml:space="preserve"> 'PLC00.R.' &amp; [MODE_DEVICE]</t>
  </si>
  <si>
    <t xml:space="preserve"> 'PLC00.R.' &amp; [P_DEVICE]</t>
  </si>
  <si>
    <t xml:space="preserve"> 'PLC00.R.' &amp; [I_DEVICE]</t>
  </si>
  <si>
    <t xml:space="preserve"> 'PLC00.R.' &amp; [D_DEVICE]</t>
  </si>
  <si>
    <t xml:space="preserve"> 'PLC00.R.' &amp; [CAL_M_DEVICE]</t>
  </si>
  <si>
    <t>IIF([SV_MAX] IS NOT NULL, [SV_MAX], [PV_MAX])</t>
  </si>
  <si>
    <t>IIF([SV_MIN] IS NOT NULL, [SV_MIN], [PV_MIN])</t>
  </si>
  <si>
    <t>[MIN]</t>
  </si>
  <si>
    <t>[MAX]</t>
  </si>
  <si>
    <t>[COMMENT] &amp; '_PV' AS [COMMENT]</t>
  </si>
  <si>
    <t>[PV_MIN] AS [MIN]</t>
  </si>
  <si>
    <t>[PV_MAX] AS [MAX]</t>
  </si>
  <si>
    <t>NOTE : INSERT SPACE BEFORE COMMA</t>
  </si>
  <si>
    <t xml:space="preserve"> '100.0'</t>
  </si>
  <si>
    <t xml:space="preserve">  '100.0'</t>
  </si>
  <si>
    <t xml:space="preserve"> '0'</t>
  </si>
  <si>
    <t xml:space="preserve"> '0.0'</t>
  </si>
  <si>
    <t xml:space="preserve"> '%'</t>
  </si>
  <si>
    <t xml:space="preserve"> '2'</t>
  </si>
  <si>
    <t xml:space="preserve"> '1'</t>
  </si>
  <si>
    <t xml:space="preserve"> 'PLC03_ANLG'</t>
  </si>
  <si>
    <t xml:space="preserve"> 'PLC00_ANLG'</t>
  </si>
  <si>
    <t xml:space="preserve"> [ALIAS_BASE]  &amp; '_SV'</t>
  </si>
  <si>
    <t xml:space="preserve"> [ALIAS_BASE]  &amp; '_MV'</t>
  </si>
  <si>
    <t xml:space="preserve"> [ALIAS_BASE]  &amp; '_MV1'</t>
  </si>
  <si>
    <t xml:space="preserve"> [ALIAS_BASE]  &amp; '_MV2'</t>
  </si>
  <si>
    <t xml:space="preserve"> [ALIAS_BASE]  &amp; '_MH'</t>
  </si>
  <si>
    <t xml:space="preserve"> [ALIAS_BASE]  &amp; '_ML'</t>
  </si>
  <si>
    <t xml:space="preserve"> [ALIAS_BASE]  &amp; '_AL_CAL_M'</t>
  </si>
  <si>
    <t xml:space="preserve"> [ALIAS_BASE]  &amp; '_AL_H'</t>
  </si>
  <si>
    <t xml:space="preserve"> [ALIAS_BASE]  &amp; '_AL_HH'</t>
  </si>
  <si>
    <t xml:space="preserve"> [ALIAS_BASE]  &amp; '_AL_L'</t>
  </si>
  <si>
    <t xml:space="preserve"> [ALIAS_BASE]  &amp; '_AL_LL'</t>
  </si>
  <si>
    <t xml:space="preserve"> [ALIAS_BASE]  &amp; '_PLC_CAL_M'</t>
  </si>
  <si>
    <t xml:space="preserve"> [ALIAS_BASE]  &amp; '_PLC_H'</t>
  </si>
  <si>
    <t xml:space="preserve"> [ALIAS_BASE]  &amp; '_PLC_HH'</t>
  </si>
  <si>
    <t xml:space="preserve"> [ALIAS_BASE]  &amp; '_PLC_L'</t>
  </si>
  <si>
    <t xml:space="preserve"> [ALIAS_BASE]  &amp; '_PLC_LL'</t>
  </si>
  <si>
    <t xml:space="preserve"> [ALIAS_BASE]  &amp; '_MODE'</t>
  </si>
  <si>
    <t xml:space="preserve"> [ALIAS_BASE]  &amp; '_P'</t>
  </si>
  <si>
    <t xml:space="preserve"> [ALIAS_BASE]  &amp; '_I'</t>
  </si>
  <si>
    <t xml:space="preserve"> [ALIAS_BASE]  &amp; '_D'</t>
  </si>
  <si>
    <t xml:space="preserve"> [ALIAS_BASE]  &amp; '_CAL_M'</t>
  </si>
  <si>
    <t xml:space="preserve"> 'SV'</t>
  </si>
  <si>
    <t xml:space="preserve"> 'MV'</t>
  </si>
  <si>
    <t xml:space="preserve"> 'MV1'</t>
  </si>
  <si>
    <t xml:space="preserve"> 'MV2'</t>
  </si>
  <si>
    <t xml:space="preserve"> 'MH'</t>
  </si>
  <si>
    <t xml:space="preserve"> 'ML'</t>
  </si>
  <si>
    <t xml:space="preserve"> 'AL_CAL_M'</t>
  </si>
  <si>
    <t xml:space="preserve"> 'AL_H'</t>
  </si>
  <si>
    <t xml:space="preserve"> 'AL_HH'</t>
  </si>
  <si>
    <t xml:space="preserve"> 'AL_L'</t>
  </si>
  <si>
    <t xml:space="preserve"> 'AL_LL'</t>
  </si>
  <si>
    <t xml:space="preserve"> 'PLC_CAL_M'</t>
  </si>
  <si>
    <t xml:space="preserve"> 'PLC_H'</t>
  </si>
  <si>
    <t xml:space="preserve"> 'PLC_HH'</t>
  </si>
  <si>
    <t xml:space="preserve"> 'PLC_L'</t>
  </si>
  <si>
    <t xml:space="preserve"> 'PLC_LL'</t>
  </si>
  <si>
    <t xml:space="preserve"> 'MODE'</t>
  </si>
  <si>
    <t xml:space="preserve"> 'P'</t>
  </si>
  <si>
    <t xml:space="preserve"> 'I'</t>
  </si>
  <si>
    <t xml:space="preserve"> 'D'</t>
  </si>
  <si>
    <t xml:space="preserve"> 'CAL_M'</t>
  </si>
  <si>
    <t xml:space="preserve"> [COMMENT] &amp; '_SV'</t>
  </si>
  <si>
    <t xml:space="preserve"> [COMMENT] &amp; '_MV'</t>
  </si>
  <si>
    <t xml:space="preserve"> [COMMENT] &amp; '_MV1'</t>
  </si>
  <si>
    <t xml:space="preserve"> [COMMENT] &amp; '_MV2'</t>
  </si>
  <si>
    <t xml:space="preserve"> [COMMENT] &amp; '_MH'</t>
  </si>
  <si>
    <t xml:space="preserve"> [COMMENT] &amp; '_ML'</t>
  </si>
  <si>
    <t xml:space="preserve"> [COMMENT] &amp; '_AL_CAL_M'</t>
  </si>
  <si>
    <t xml:space="preserve"> [COMMENT] &amp; '_AL_H'</t>
  </si>
  <si>
    <t xml:space="preserve"> [COMMENT] &amp; '_AL_HH'</t>
  </si>
  <si>
    <t xml:space="preserve"> [COMMENT] &amp; '_AL_L'</t>
  </si>
  <si>
    <t xml:space="preserve"> [COMMENT] &amp; '_AL_LL'</t>
  </si>
  <si>
    <t xml:space="preserve"> [COMMENT] &amp; '_PLC_CAL_M'</t>
  </si>
  <si>
    <t xml:space="preserve"> [COMMENT] &amp; '_PLC_H'</t>
  </si>
  <si>
    <t xml:space="preserve"> [COMMENT] &amp; '_PLC_HH'</t>
  </si>
  <si>
    <t xml:space="preserve"> [COMMENT] &amp; '_PLC_L'</t>
  </si>
  <si>
    <t xml:space="preserve"> [COMMENT] &amp; '_PLC_LL'</t>
  </si>
  <si>
    <t xml:space="preserve"> [COMMENT] &amp; '_A/M' </t>
  </si>
  <si>
    <t xml:space="preserve"> [COMMENT] &amp; '_P'</t>
  </si>
  <si>
    <t xml:space="preserve"> [COMMENT] &amp; '_I'</t>
  </si>
  <si>
    <t xml:space="preserve"> [COMMENT] &amp; '_D'</t>
  </si>
  <si>
    <t xml:space="preserve"> [COMMENT] &amp; '_CAL_M'</t>
  </si>
  <si>
    <t>note : as [new_header_name]</t>
  </si>
  <si>
    <t xml:space="preserve"> 'PLC03.R.' &amp; [SV_DEVICE]</t>
  </si>
  <si>
    <t xml:space="preserve"> 'PLC03.R.' &amp; [MV_DEVICE]</t>
  </si>
  <si>
    <t xml:space="preserve"> 'PLC03.R.' &amp; [MV1_DEVICE]</t>
  </si>
  <si>
    <t xml:space="preserve"> 'PLC03.R.' &amp; [MV2_DEVICE]</t>
  </si>
  <si>
    <t xml:space="preserve"> 'PLC03.R.' &amp; [MH_DEVICE]</t>
  </si>
  <si>
    <t xml:space="preserve"> 'PLC03.R.' &amp; [ML_DEVICE]</t>
  </si>
  <si>
    <t xml:space="preserve"> 'PLC03.M.' &amp; [AL_CAL_M_DEVICE]</t>
  </si>
  <si>
    <t xml:space="preserve"> 'PLC03.M.' &amp; [AL_H_DEVICE]</t>
  </si>
  <si>
    <t xml:space="preserve"> 'PLC03.M.' &amp; [AL_HH_DEVICE]</t>
  </si>
  <si>
    <t xml:space="preserve"> 'PLC03.M.' &amp; [AL_L_DEVICE]</t>
  </si>
  <si>
    <t xml:space="preserve"> 'PLC03.M.' &amp; [AL_LL_DEVICE]</t>
  </si>
  <si>
    <t xml:space="preserve"> 'PLC03.M.' &amp; [PLC_CAL_M_DEVICE]</t>
  </si>
  <si>
    <t xml:space="preserve"> 'PLC03.M.' &amp; [PLC_H_DEVICE]</t>
  </si>
  <si>
    <t xml:space="preserve"> 'PLC03.M.' &amp; [PLC_HH_DEVICE]</t>
  </si>
  <si>
    <t xml:space="preserve"> 'PLC03.M.' &amp; [PLC_L_DEVICE]</t>
  </si>
  <si>
    <t xml:space="preserve"> 'PLC03.M.' &amp; [PLC_LL_DEVICE]</t>
  </si>
  <si>
    <t xml:space="preserve"> 'PLC03.R.' &amp; [MODE_DEVICE]</t>
  </si>
  <si>
    <t xml:space="preserve"> 'PLC03.R.' &amp; [P_DEVICE]</t>
  </si>
  <si>
    <t xml:space="preserve"> 'PLC03.R.' &amp; [I_DEVICE]</t>
  </si>
  <si>
    <t xml:space="preserve"> 'PLC03.R.' &amp; [D_DEVICE]</t>
  </si>
  <si>
    <t xml:space="preserve"> 'PLC03.R.' &amp; [CAL_M_DEVICE]</t>
  </si>
  <si>
    <t>DayFormat.xlsx</t>
  </si>
  <si>
    <t>PASTESHT</t>
  </si>
  <si>
    <t>BSET_LIST1_PASTESHT</t>
  </si>
  <si>
    <t>BSET_LIST1</t>
  </si>
  <si>
    <t>BSET_LIST1_SORCESHT</t>
  </si>
  <si>
    <t>BSET_LIST1_SORCEWB</t>
  </si>
  <si>
    <t>BSET_LIST1_PASTEWB</t>
  </si>
  <si>
    <t>BSET_LIST2</t>
  </si>
  <si>
    <t>BSET_EXE_REPLACE</t>
  </si>
  <si>
    <t>BSET_JOINTMAX</t>
  </si>
  <si>
    <t>BSET_LIST1_SORCESHT_INDEXCOL</t>
  </si>
  <si>
    <t>BSET_LIST1_PASTESHT_INDEXCOL</t>
  </si>
  <si>
    <t>BSET_LIST2_SORCEWB</t>
  </si>
  <si>
    <t>BSET_LIST2_SORCESHT</t>
  </si>
  <si>
    <t>BSET_LIST2_SORCESHT_INDEXCOL</t>
  </si>
  <si>
    <t>BSET_LIST2_PASTEWB</t>
  </si>
  <si>
    <t>BSET_LIST2_PASTESHT</t>
  </si>
  <si>
    <t>BSET_LIST2_PASTESHT_INDEXCOL</t>
  </si>
  <si>
    <t>PASTESHT2</t>
  </si>
  <si>
    <t>BSET_LIST1_VALCOL-1</t>
  </si>
  <si>
    <t>D:B</t>
  </si>
  <si>
    <t>BSET_LIST1_VALCOL-2</t>
  </si>
  <si>
    <t>E:C</t>
  </si>
  <si>
    <t>BSET_LIST1_VALCOL-3</t>
  </si>
  <si>
    <t>BSET_LIST1_VALCOL-4</t>
  </si>
  <si>
    <t>BSET_LIST2_VALCOL-1</t>
  </si>
  <si>
    <t>BSET_LIST2_VALCOL-2</t>
  </si>
  <si>
    <t>BSET_LIST2_VALCOL-3</t>
  </si>
  <si>
    <t>BSET_LIST2_VALCOL-4</t>
  </si>
  <si>
    <t>SORCE : PASTE</t>
  </si>
  <si>
    <t>F:D</t>
  </si>
  <si>
    <t>G:E</t>
  </si>
  <si>
    <t>CDPL_LIST1</t>
  </si>
  <si>
    <t>CDPL_LIST1_WB</t>
  </si>
  <si>
    <t>CDPL_LIST1_SHT</t>
  </si>
  <si>
    <t>CDPL_EXE_CHECKDPL</t>
  </si>
  <si>
    <t>CDPL_LIST1_RNG</t>
  </si>
  <si>
    <t>B7:B17</t>
  </si>
  <si>
    <t>WARI.xls</t>
  </si>
  <si>
    <t>C:\Users\Owner\Documents\workspace\PRJ\リスト\リスト\WARI.xls</t>
  </si>
  <si>
    <t>C:\Users\Owner\Documents\workspace\PRJ\リスト\リスト\OP.xlsx</t>
  </si>
  <si>
    <t>C:\Users\Owner\Documents\workspace\PRJ\リスト\リスト\KONDO.xls</t>
  </si>
  <si>
    <t>C:\Users\Owner\Documents\workspace\PRJ\リスト\リスト\IO.xlsx</t>
  </si>
  <si>
    <t>C:\Users\Owner\Documents\workspace\PRJ\リスト\リスト\HIRANO.xls</t>
  </si>
  <si>
    <t>C:\Users\Owner\Documents\workspace\PRJ\リスト\リスト\TYOUGOU.xlsx</t>
  </si>
  <si>
    <t>DIDO</t>
  </si>
  <si>
    <t>B_K-A</t>
  </si>
  <si>
    <t>B_A-K</t>
  </si>
  <si>
    <t>W_K-A</t>
  </si>
  <si>
    <t>W_A-K</t>
  </si>
  <si>
    <t>DIDO00</t>
  </si>
  <si>
    <t>DIDO03</t>
  </si>
  <si>
    <t>DI</t>
  </si>
  <si>
    <t>DI_ALM</t>
  </si>
  <si>
    <t>DO</t>
  </si>
  <si>
    <t>LST</t>
  </si>
  <si>
    <t>ANLG00</t>
  </si>
  <si>
    <t>ANLG03</t>
  </si>
  <si>
    <t>FLAG00</t>
  </si>
  <si>
    <t>MONITOR00</t>
  </si>
  <si>
    <t>STTING00</t>
  </si>
  <si>
    <t>VALUE00</t>
  </si>
  <si>
    <t>SYOHOU03</t>
  </si>
  <si>
    <t>SESNJYOHIS03</t>
  </si>
  <si>
    <t>PARAM03</t>
  </si>
  <si>
    <t>FLAG03</t>
  </si>
  <si>
    <t>MONITO03</t>
  </si>
  <si>
    <t>CCL_B</t>
  </si>
  <si>
    <t>CCL_W</t>
  </si>
  <si>
    <t>FP_LIST</t>
  </si>
  <si>
    <t>DIFF,PRE,DB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</si>
</sst>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26">
    <xf numFmtId="0" fontId="0" fillId="0" borderId="0"/>
    <xf numFmtId="0" fontId="16" fillId="0" borderId="0"/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8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/>
    <xf numFmtId="0" fontId="3" fillId="0" borderId="0"/>
    <xf numFmtId="0" fontId="2" fillId="0" borderId="0"/>
    <xf numFmtId="0" fontId="16" fillId="0" borderId="0"/>
    <xf numFmtId="0" fontId="1" fillId="0" borderId="0"/>
    <xf numFmtId="0" fontId="17" fillId="0" borderId="0"/>
    <xf numFmtId="0" fontId="16" fillId="0" borderId="0"/>
    <xf numFmtId="0" fontId="20" fillId="0" borderId="0">
      <alignment vertical="center"/>
    </xf>
    <xf numFmtId="0" fontId="16" fillId="0" borderId="0"/>
  </cellStyleXfs>
  <cellXfs count="49">
    <xf numFmtId="0" fontId="0" fillId="0" borderId="0" xfId="0"/>
    <xf numFmtId="0" fontId="19" fillId="0" borderId="0" xfId="0" applyNumberFormat="1" applyFont="1"/>
    <xf numFmtId="0" fontId="19" fillId="0" borderId="0" xfId="0" applyNumberFormat="1" applyFont="1" applyAlignment="1">
      <alignment horizontal="right"/>
    </xf>
    <xf numFmtId="14" fontId="19" fillId="0" borderId="0" xfId="0" applyNumberFormat="1" applyFont="1" applyAlignment="1">
      <alignment horizontal="right"/>
    </xf>
    <xf numFmtId="0" fontId="19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right"/>
    </xf>
    <xf numFmtId="0" fontId="19" fillId="0" borderId="0" xfId="0" applyFont="1" applyAlignment="1">
      <alignment horizontal="left"/>
    </xf>
    <xf numFmtId="0" fontId="0" fillId="0" borderId="0" xfId="0" applyNumberFormat="1" applyFont="1"/>
    <xf numFmtId="0" fontId="19" fillId="0" borderId="1" xfId="0" applyNumberFormat="1" applyFont="1" applyBorder="1"/>
    <xf numFmtId="0" fontId="0" fillId="0" borderId="1" xfId="0" applyNumberFormat="1" applyFont="1" applyBorder="1"/>
    <xf numFmtId="14" fontId="19" fillId="0" borderId="0" xfId="0" applyNumberFormat="1" applyFont="1" applyAlignment="1">
      <alignment horizontal="left"/>
    </xf>
    <xf numFmtId="0" fontId="0" fillId="2" borderId="0" xfId="0" applyNumberFormat="1" applyFont="1" applyFill="1" applyAlignment="1">
      <alignment horizontal="right"/>
    </xf>
    <xf numFmtId="0" fontId="0" fillId="4" borderId="0" xfId="0" applyNumberFormat="1" applyFont="1" applyFill="1"/>
    <xf numFmtId="0" fontId="19" fillId="0" borderId="0" xfId="0" applyFont="1"/>
    <xf numFmtId="0" fontId="19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ont="1"/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0" fillId="0" borderId="1" xfId="0" applyFont="1" applyBorder="1"/>
    <xf numFmtId="0" fontId="0" fillId="3" borderId="0" xfId="0" applyNumberFormat="1" applyFont="1" applyFill="1"/>
    <xf numFmtId="0" fontId="0" fillId="0" borderId="0" xfId="0" applyNumberFormat="1" applyFont="1" applyFill="1"/>
    <xf numFmtId="0" fontId="0" fillId="0" borderId="0" xfId="0" applyFont="1" applyAlignment="1">
      <alignment horizontal="right"/>
    </xf>
    <xf numFmtId="0" fontId="0" fillId="3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/>
    <xf numFmtId="0" fontId="0" fillId="3" borderId="0" xfId="0" applyNumberFormat="1" applyFont="1" applyFill="1" applyAlignment="1"/>
    <xf numFmtId="0" fontId="0" fillId="0" borderId="0" xfId="0" applyNumberFormat="1" applyFont="1" applyFill="1" applyAlignment="1">
      <alignment horizontal="left"/>
    </xf>
    <xf numFmtId="0" fontId="0" fillId="2" borderId="0" xfId="0" applyNumberFormat="1" applyFont="1" applyFill="1" applyAlignment="1">
      <alignment horizontal="left"/>
    </xf>
    <xf numFmtId="0" fontId="0" fillId="2" borderId="0" xfId="0" applyFont="1" applyFill="1" applyAlignment="1">
      <alignment horizontal="left"/>
    </xf>
    <xf numFmtId="0" fontId="0" fillId="0" borderId="0" xfId="0" applyFont="1" applyFill="1" applyAlignment="1">
      <alignment horizontal="right"/>
    </xf>
    <xf numFmtId="0" fontId="0" fillId="0" borderId="0" xfId="0" quotePrefix="1" applyFont="1"/>
    <xf numFmtId="0" fontId="0" fillId="0" borderId="0" xfId="0" quotePrefix="1" applyNumberFormat="1" applyFont="1"/>
    <xf numFmtId="0" fontId="0" fillId="0" borderId="0" xfId="0" quotePrefix="1" applyFont="1" applyAlignment="1">
      <alignment horizontal="right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0" xfId="0" applyFont="1" applyFill="1"/>
    <xf numFmtId="0" fontId="21" fillId="0" borderId="0" xfId="0" applyFont="1"/>
    <xf numFmtId="0" fontId="21" fillId="0" borderId="0" xfId="0" applyFont="1" applyAlignment="1">
      <alignment horizontal="right"/>
    </xf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0" fillId="0" borderId="0" xfId="0" quotePrefix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Fill="1" applyAlignment="1">
      <alignment horizontal="left" vertical="center"/>
    </xf>
  </cellXfs>
  <cellStyles count="26">
    <cellStyle name="Normal" xfId="0" builtinId="0"/>
    <cellStyle name="Normal 2" xfId="17" xr:uid="{A6FDDBE8-C512-461E-BD7B-4C17B04EED56}"/>
    <cellStyle name="Normal 3" xfId="18" xr:uid="{1F3EC015-2C71-431F-8A1F-89544B9DEA58}"/>
    <cellStyle name="Normal 4" xfId="19" xr:uid="{35CBCA37-4F8F-44F3-9BCA-6C5DCBAC9C47}"/>
    <cellStyle name="Normal 5" xfId="21" xr:uid="{9A4EFAB6-5102-4E3B-83A8-9E354A7A393E}"/>
    <cellStyle name="標準 10" xfId="15" xr:uid="{32CF596E-EEFF-41AD-946B-F69E62E17F8D}"/>
    <cellStyle name="標準 11" xfId="16" xr:uid="{44A0DEB9-8B71-436A-8B09-374F104378F8}"/>
    <cellStyle name="標準 2" xfId="1" xr:uid="{00000000-0005-0000-0000-000001000000}"/>
    <cellStyle name="標準 2 2" xfId="14" xr:uid="{7A01BE85-074C-49A9-9A39-AC7C3EF3AE35}"/>
    <cellStyle name="標準 3" xfId="2" xr:uid="{C6EC5200-6B3B-4C18-B59F-B051C7C8F264}"/>
    <cellStyle name="標準 3 2" xfId="22" xr:uid="{F5A9E8BA-23E4-41AE-A3D8-8DB0958D7408}"/>
    <cellStyle name="標準 3 3" xfId="25" xr:uid="{80E2EC71-9211-4A98-A483-D4B19EABC874}"/>
    <cellStyle name="標準 4" xfId="3" xr:uid="{2EDA4A71-7146-420C-88E9-99B44DC2FEEC}"/>
    <cellStyle name="標準 4 2" xfId="4" xr:uid="{AF1A4891-C496-4B4C-8307-D8A653A22F5A}"/>
    <cellStyle name="標準 4 2 2" xfId="7" xr:uid="{B9A5C3C9-BA06-4723-82C8-D8ABB1EC3733}"/>
    <cellStyle name="標準 4 2 3" xfId="10" xr:uid="{DD79153F-B744-4566-8182-363FF2BA1E3B}"/>
    <cellStyle name="標準 4 2 3 2" xfId="12" xr:uid="{F8F7F816-9B2E-42A5-B08C-FF8FE90CA613}"/>
    <cellStyle name="標準 4 3" xfId="24" xr:uid="{602BA9B2-91A1-434E-9F91-516A62FF80A1}"/>
    <cellStyle name="標準 5" xfId="5" xr:uid="{C2F0AE7F-1277-40F1-8331-DC2A7B720C8B}"/>
    <cellStyle name="標準 5 2" xfId="23" xr:uid="{1AE4CEDD-06E5-4CAD-901D-41A806A8713C}"/>
    <cellStyle name="標準 6" xfId="6" xr:uid="{1AB87793-E14A-4C4A-9993-FBDE9D741501}"/>
    <cellStyle name="標準 7" xfId="8" xr:uid="{A995EC67-C466-45E6-955B-97D647291E6C}"/>
    <cellStyle name="標準 8" xfId="9" xr:uid="{E4289D8C-CDBF-4593-946F-9E3866F80DC0}"/>
    <cellStyle name="標準 8 2" xfId="11" xr:uid="{92B0C43C-9F0A-4FED-8398-0A043012CE5D}"/>
    <cellStyle name="標準 9" xfId="13" xr:uid="{6F448971-8F0E-4C87-B2D1-4662518BFE0F}"/>
    <cellStyle name="標準_近藤PLC4" xfId="20" xr:uid="{4062F6F5-CB86-4316-BAD3-6228A531A36E}"/>
  </cellStyles>
  <dxfs count="0"/>
  <tableStyles count="0" defaultTableStyle="TableStyleMedium2" defaultPivotStyle="PivotStyleLight16"/>
  <colors>
    <mruColors>
      <color rgb="FF123456"/>
      <color rgb="FF0123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1514475</xdr:colOff>
      <xdr:row>5</xdr:row>
      <xdr:rowOff>0</xdr:rowOff>
    </xdr:from>
    <xdr:to>
      <xdr:col>2</xdr:col>
      <xdr:colOff>0</xdr:colOff>
      <xdr:row>6</xdr:row>
      <xdr:rowOff>1</xdr:rowOff>
    </xdr:to>
    <xdr:sp macro="[0]!SortShtByPGP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05023B-B885-4303-B297-D8F8A08D72F8}"/>
            </a:ext>
          </a:extLst>
        </xdr:cNvPr>
        <xdr:cNvSpPr/>
      </xdr:nvSpPr>
      <xdr:spPr>
        <a:xfrm>
          <a:off x="3876675" y="952500"/>
          <a:ext cx="800100" cy="19050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SORTSHT</a:t>
          </a:r>
        </a:p>
      </xdr:txBody>
    </xdr:sp>
    <xdr:clientData/>
  </xdr:twoCellAnchor>
  <xdr:twoCellAnchor>
    <xdr:from>
      <xdr:col>1</xdr:col>
      <xdr:colOff>1438276</xdr:colOff>
      <xdr:row>17</xdr:row>
      <xdr:rowOff>0</xdr:rowOff>
    </xdr:from>
    <xdr:to>
      <xdr:col>2</xdr:col>
      <xdr:colOff>1</xdr:colOff>
      <xdr:row>17</xdr:row>
      <xdr:rowOff>190499</xdr:rowOff>
    </xdr:to>
    <xdr:sp macro="[0]!ShtHdnByPGP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30E17A-55DA-444D-BA46-E07919338D6C}"/>
            </a:ext>
          </a:extLst>
        </xdr:cNvPr>
        <xdr:cNvSpPr/>
      </xdr:nvSpPr>
      <xdr:spPr>
        <a:xfrm>
          <a:off x="3800476" y="3048000"/>
          <a:ext cx="876300" cy="190499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SHTHDN</a:t>
          </a: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[0]!insertPic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051EAE5-2073-413F-9E2F-E8C01A0040CA}"/>
            </a:ext>
          </a:extLst>
        </xdr:cNvPr>
        <xdr:cNvSpPr/>
      </xdr:nvSpPr>
      <xdr:spPr>
        <a:xfrm>
          <a:off x="2362200" y="49530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4">
                  <a:lumMod val="60000"/>
                  <a:lumOff val="40000"/>
                </a:schemeClr>
              </a:solidFill>
            </a:rPr>
            <a:t>INSERT</a:t>
          </a:r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 PCT</a:t>
          </a:r>
          <a:endParaRPr lang="en-US" sz="11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2</xdr:col>
      <xdr:colOff>0</xdr:colOff>
      <xdr:row>35</xdr:row>
      <xdr:rowOff>0</xdr:rowOff>
    </xdr:to>
    <xdr:sp macro="[0]!DownloadFileListByPGP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3AFBE55-5A9A-47E3-9B58-2C2887357EB6}"/>
            </a:ext>
          </a:extLst>
        </xdr:cNvPr>
        <xdr:cNvSpPr/>
      </xdr:nvSpPr>
      <xdr:spPr>
        <a:xfrm>
          <a:off x="1581150" y="78105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4">
                  <a:lumMod val="60000"/>
                  <a:lumOff val="40000"/>
                </a:schemeClr>
              </a:solidFill>
            </a:rPr>
            <a:t>DOWNLOAD</a:t>
          </a:r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 FILE LIST</a:t>
          </a:r>
          <a:endParaRPr lang="en-US" sz="11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0</xdr:colOff>
      <xdr:row>39</xdr:row>
      <xdr:rowOff>0</xdr:rowOff>
    </xdr:to>
    <xdr:sp macro="[0]!DownloadFolderFileLis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402AEF28-6E51-44D6-A892-F97E2BF007D9}"/>
            </a:ext>
          </a:extLst>
        </xdr:cNvPr>
        <xdr:cNvSpPr/>
      </xdr:nvSpPr>
      <xdr:spPr>
        <a:xfrm>
          <a:off x="1504950" y="2857500"/>
          <a:ext cx="214312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4">
                  <a:lumMod val="60000"/>
                  <a:lumOff val="40000"/>
                </a:schemeClr>
              </a:solidFill>
            </a:rPr>
            <a:t>UPDATE FILE NAME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[0]!DownloadWsListByPGP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523638A-6459-4E07-8835-AA31FCF6A753}"/>
            </a:ext>
          </a:extLst>
        </xdr:cNvPr>
        <xdr:cNvSpPr/>
      </xdr:nvSpPr>
      <xdr:spPr>
        <a:xfrm>
          <a:off x="1581150" y="78105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4">
                  <a:lumMod val="60000"/>
                  <a:lumOff val="40000"/>
                </a:schemeClr>
              </a:solidFill>
            </a:rPr>
            <a:t>DOWNLOAD</a:t>
          </a:r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 WS LIST</a:t>
          </a:r>
          <a:endParaRPr lang="en-US" sz="11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49</xdr:row>
      <xdr:rowOff>0</xdr:rowOff>
    </xdr:from>
    <xdr:to>
      <xdr:col>2</xdr:col>
      <xdr:colOff>0</xdr:colOff>
      <xdr:row>50</xdr:row>
      <xdr:rowOff>0</xdr:rowOff>
    </xdr:to>
    <xdr:sp macro="[0]!SetKeyBindByPGPRM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CAF9A0B-4956-4D51-BECE-743018D3F11E}"/>
            </a:ext>
          </a:extLst>
        </xdr:cNvPr>
        <xdr:cNvSpPr/>
      </xdr:nvSpPr>
      <xdr:spPr>
        <a:xfrm>
          <a:off x="1581150" y="85725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accent4">
                  <a:lumMod val="60000"/>
                  <a:lumOff val="40000"/>
                </a:schemeClr>
              </a:solidFill>
            </a:rPr>
            <a:t>SET</a:t>
          </a:r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 KEY BIND</a:t>
          </a:r>
        </a:p>
      </xdr:txBody>
    </xdr:sp>
    <xdr:clientData/>
  </xdr:twoCellAnchor>
  <xdr:twoCellAnchor>
    <xdr:from>
      <xdr:col>1</xdr:col>
      <xdr:colOff>0</xdr:colOff>
      <xdr:row>57</xdr:row>
      <xdr:rowOff>0</xdr:rowOff>
    </xdr:from>
    <xdr:to>
      <xdr:col>2</xdr:col>
      <xdr:colOff>0</xdr:colOff>
      <xdr:row>58</xdr:row>
      <xdr:rowOff>0</xdr:rowOff>
    </xdr:to>
    <xdr:sp macro="[0]!DeleteShtByPGPR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ACFC72E-67A3-49C6-8641-095BD23A071C}"/>
            </a:ext>
          </a:extLst>
        </xdr:cNvPr>
        <xdr:cNvSpPr/>
      </xdr:nvSpPr>
      <xdr:spPr>
        <a:xfrm>
          <a:off x="1581150" y="108585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DELETE SHT</a:t>
          </a:r>
        </a:p>
      </xdr:txBody>
    </xdr:sp>
    <xdr:clientData/>
  </xdr:twoCellAnchor>
  <xdr:twoCellAnchor>
    <xdr:from>
      <xdr:col>1</xdr:col>
      <xdr:colOff>0</xdr:colOff>
      <xdr:row>66</xdr:row>
      <xdr:rowOff>0</xdr:rowOff>
    </xdr:from>
    <xdr:to>
      <xdr:col>2</xdr:col>
      <xdr:colOff>0</xdr:colOff>
      <xdr:row>67</xdr:row>
      <xdr:rowOff>0</xdr:rowOff>
    </xdr:to>
    <xdr:sp macro="[0]!BSetValByPGPR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93BBD54-63AC-4E90-9EA6-346E5C53EBAA}"/>
            </a:ext>
          </a:extLst>
        </xdr:cNvPr>
        <xdr:cNvSpPr/>
      </xdr:nvSpPr>
      <xdr:spPr>
        <a:xfrm>
          <a:off x="1581150" y="125730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BSET VAL</a:t>
          </a:r>
        </a:p>
      </xdr:txBody>
    </xdr:sp>
    <xdr:clientData/>
  </xdr:twoCellAnchor>
  <xdr:twoCellAnchor>
    <xdr:from>
      <xdr:col>1</xdr:col>
      <xdr:colOff>0</xdr:colOff>
      <xdr:row>100</xdr:row>
      <xdr:rowOff>0</xdr:rowOff>
    </xdr:from>
    <xdr:to>
      <xdr:col>2</xdr:col>
      <xdr:colOff>0</xdr:colOff>
      <xdr:row>101</xdr:row>
      <xdr:rowOff>0</xdr:rowOff>
    </xdr:to>
    <xdr:sp macro="[0]!CheckDuplicateByPGPRM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35A12A4-AFC5-4AD7-BD1D-6E0E353C546A}"/>
            </a:ext>
          </a:extLst>
        </xdr:cNvPr>
        <xdr:cNvSpPr/>
      </xdr:nvSpPr>
      <xdr:spPr>
        <a:xfrm>
          <a:off x="1581150" y="19050000"/>
          <a:ext cx="2314575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accent4">
                  <a:lumMod val="60000"/>
                  <a:lumOff val="40000"/>
                </a:schemeClr>
              </a:solidFill>
            </a:rPr>
            <a:t>CHECK DUPLICATE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[0]!DB_EXE_CREATESH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A1A099E-93D5-4929-8A7D-5E52B44E0FEB}"/>
            </a:ext>
          </a:extLst>
        </xdr:cNvPr>
        <xdr:cNvSpPr/>
      </xdr:nvSpPr>
      <xdr:spPr>
        <a:xfrm>
          <a:off x="2442882" y="1143000"/>
          <a:ext cx="2543736" cy="1905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DB_EXE_CREATESHT</a:t>
          </a:r>
        </a:p>
        <a:p>
          <a:pPr algn="ctr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902072</xdr:colOff>
      <xdr:row>6</xdr:row>
      <xdr:rowOff>179294</xdr:rowOff>
    </xdr:from>
    <xdr:to>
      <xdr:col>1</xdr:col>
      <xdr:colOff>2504513</xdr:colOff>
      <xdr:row>8</xdr:row>
      <xdr:rowOff>168088</xdr:rowOff>
    </xdr:to>
    <xdr:sp macro="[0]!SQL_EXE_CREATESH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1191B2-D2AA-4317-B0E9-EEF40F06A108}"/>
            </a:ext>
          </a:extLst>
        </xdr:cNvPr>
        <xdr:cNvSpPr/>
      </xdr:nvSpPr>
      <xdr:spPr>
        <a:xfrm>
          <a:off x="2773454" y="1322294"/>
          <a:ext cx="1602441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BSQL_EXE_CREATESHT</a:t>
          </a:r>
        </a:p>
        <a:p>
          <a:pPr algn="ctr"/>
          <a:endParaRPr lang="en-US" sz="1100"/>
        </a:p>
      </xdr:txBody>
    </xdr:sp>
    <xdr:clientData/>
  </xdr:twoCellAnchor>
  <xdr:twoCellAnchor>
    <xdr:from>
      <xdr:col>2</xdr:col>
      <xdr:colOff>371475</xdr:colOff>
      <xdr:row>396</xdr:row>
      <xdr:rowOff>180975</xdr:rowOff>
    </xdr:from>
    <xdr:to>
      <xdr:col>2</xdr:col>
      <xdr:colOff>1973916</xdr:colOff>
      <xdr:row>398</xdr:row>
      <xdr:rowOff>169769</xdr:rowOff>
    </xdr:to>
    <xdr:sp macro="[0]!BSQL_EXE_CREATESH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AA9D1AF-5CD8-4DFE-8976-0F1B240B63AF}"/>
            </a:ext>
          </a:extLst>
        </xdr:cNvPr>
        <xdr:cNvSpPr/>
      </xdr:nvSpPr>
      <xdr:spPr>
        <a:xfrm>
          <a:off x="3810000" y="17516475"/>
          <a:ext cx="1602441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BSQL_EXE_CREATESHT</a:t>
          </a:r>
        </a:p>
        <a:p>
          <a:pPr algn="ctr"/>
          <a:endParaRPr lang="en-US" sz="1100"/>
        </a:p>
      </xdr:txBody>
    </xdr:sp>
    <xdr:clientData/>
  </xdr:twoCellAnchor>
  <xdr:twoCellAnchor>
    <xdr:from>
      <xdr:col>0</xdr:col>
      <xdr:colOff>238125</xdr:colOff>
      <xdr:row>228</xdr:row>
      <xdr:rowOff>123825</xdr:rowOff>
    </xdr:from>
    <xdr:to>
      <xdr:col>0</xdr:col>
      <xdr:colOff>1840566</xdr:colOff>
      <xdr:row>230</xdr:row>
      <xdr:rowOff>112619</xdr:rowOff>
    </xdr:to>
    <xdr:sp macro="[0]!SQL_EXE_CREATESH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F570D6B-0506-4E54-8E33-42B43FC7149B}"/>
            </a:ext>
          </a:extLst>
        </xdr:cNvPr>
        <xdr:cNvSpPr/>
      </xdr:nvSpPr>
      <xdr:spPr>
        <a:xfrm>
          <a:off x="238125" y="23364825"/>
          <a:ext cx="1602441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BSQL_EXE_CREATESHT</a:t>
          </a:r>
        </a:p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161925</xdr:rowOff>
    </xdr:from>
    <xdr:to>
      <xdr:col>1</xdr:col>
      <xdr:colOff>1792941</xdr:colOff>
      <xdr:row>2</xdr:row>
      <xdr:rowOff>150719</xdr:rowOff>
    </xdr:to>
    <xdr:sp macro="[0]!createPartsXmlShtByPGP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E23D47-82F5-4E5B-8EAC-5C17C6B1C708}"/>
            </a:ext>
          </a:extLst>
        </xdr:cNvPr>
        <xdr:cNvSpPr/>
      </xdr:nvSpPr>
      <xdr:spPr>
        <a:xfrm>
          <a:off x="1809750" y="161925"/>
          <a:ext cx="1602441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CLT_EXE_CREATESHT</a:t>
          </a:r>
        </a:p>
        <a:p>
          <a:pPr algn="ctr"/>
          <a:endParaRPr lang="en-US" sz="1100"/>
        </a:p>
      </xdr:txBody>
    </xdr:sp>
    <xdr:clientData/>
  </xdr:twoCellAnchor>
  <xdr:twoCellAnchor>
    <xdr:from>
      <xdr:col>1</xdr:col>
      <xdr:colOff>2133600</xdr:colOff>
      <xdr:row>0</xdr:row>
      <xdr:rowOff>161925</xdr:rowOff>
    </xdr:from>
    <xdr:to>
      <xdr:col>2</xdr:col>
      <xdr:colOff>1211916</xdr:colOff>
      <xdr:row>2</xdr:row>
      <xdr:rowOff>150719</xdr:rowOff>
    </xdr:to>
    <xdr:sp macro="[0]!FIXREPO_EXE_CREATESH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B4BA28-A725-48ED-8230-A8D2786C06FE}"/>
            </a:ext>
          </a:extLst>
        </xdr:cNvPr>
        <xdr:cNvSpPr/>
      </xdr:nvSpPr>
      <xdr:spPr>
        <a:xfrm>
          <a:off x="3635188" y="161925"/>
          <a:ext cx="1599640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XML_EXE_CREATESHT</a:t>
          </a:r>
        </a:p>
        <a:p>
          <a:pPr algn="ctr"/>
          <a:endParaRPr lang="en-US" sz="1100"/>
        </a:p>
      </xdr:txBody>
    </xdr:sp>
    <xdr:clientData/>
  </xdr:twoCellAnchor>
  <xdr:twoCellAnchor>
    <xdr:from>
      <xdr:col>3</xdr:col>
      <xdr:colOff>56029</xdr:colOff>
      <xdr:row>0</xdr:row>
      <xdr:rowOff>168089</xdr:rowOff>
    </xdr:from>
    <xdr:to>
      <xdr:col>5</xdr:col>
      <xdr:colOff>470647</xdr:colOff>
      <xdr:row>2</xdr:row>
      <xdr:rowOff>156883</xdr:rowOff>
    </xdr:to>
    <xdr:sp macro="[0]!FIXREPO_EXE_CONVE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4BBB134-84B6-459D-BD47-3C7F2EBC32D5}"/>
            </a:ext>
          </a:extLst>
        </xdr:cNvPr>
        <xdr:cNvSpPr/>
      </xdr:nvSpPr>
      <xdr:spPr>
        <a:xfrm>
          <a:off x="5602941" y="168089"/>
          <a:ext cx="1602441" cy="3697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FIXREPO_EXE_CONVERT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1E28-A91E-4251-8105-030AE4B9A41E}">
  <sheetPr codeName="Sheet37"/>
  <dimension ref="A1:C9"/>
  <sheetViews>
    <sheetView tabSelected="1" workbookViewId="0">
      <selection activeCell="B21" sqref="B21"/>
    </sheetView>
  </sheetViews>
  <sheetFormatPr defaultRowHeight="15"/>
  <cols>
    <col min="1" max="1" width="17.7109375" bestFit="1" customWidth="1"/>
    <col min="2" max="2" width="24" bestFit="1" customWidth="1"/>
  </cols>
  <sheetData>
    <row r="1" spans="1:3">
      <c r="A1" t="s">
        <v>161</v>
      </c>
      <c r="B1" t="s">
        <v>160</v>
      </c>
      <c r="C1" t="s">
        <v>181</v>
      </c>
    </row>
    <row r="2" spans="1:3">
      <c r="A2" t="s">
        <v>170</v>
      </c>
      <c r="B2" t="s">
        <v>172</v>
      </c>
      <c r="C2" t="s">
        <v>182</v>
      </c>
    </row>
    <row r="3" spans="1:3">
      <c r="A3" t="s">
        <v>171</v>
      </c>
      <c r="B3" t="s">
        <v>173</v>
      </c>
      <c r="C3" t="s">
        <v>0</v>
      </c>
    </row>
    <row r="4" spans="1:3">
      <c r="A4" t="s">
        <v>158</v>
      </c>
      <c r="B4" t="s">
        <v>174</v>
      </c>
      <c r="C4" t="s">
        <v>3</v>
      </c>
    </row>
    <row r="5" spans="1:3">
      <c r="A5" t="s">
        <v>159</v>
      </c>
      <c r="B5" t="s">
        <v>175</v>
      </c>
      <c r="C5" t="s">
        <v>126</v>
      </c>
    </row>
    <row r="6" spans="1:3">
      <c r="A6" t="s">
        <v>170</v>
      </c>
      <c r="B6" t="s">
        <v>172</v>
      </c>
      <c r="C6" t="s">
        <v>183</v>
      </c>
    </row>
    <row r="7" spans="1:3">
      <c r="A7" t="s">
        <v>171</v>
      </c>
      <c r="B7" t="s">
        <v>173</v>
      </c>
      <c r="C7" t="s">
        <v>101</v>
      </c>
    </row>
    <row r="8" spans="1:3">
      <c r="A8" t="s">
        <v>167</v>
      </c>
      <c r="B8" t="s">
        <v>184</v>
      </c>
    </row>
    <row r="9" spans="1:3">
      <c r="A9" t="s">
        <v>167</v>
      </c>
      <c r="B9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163F-FD0A-4AB3-9AAD-9816A83898A9}">
  <sheetPr codeName="Sheet38"/>
  <dimension ref="A1:C9"/>
  <sheetViews>
    <sheetView workbookViewId="0"/>
  </sheetViews>
  <sheetFormatPr defaultRowHeight="15"/>
  <cols>
    <col min="1" max="1" width="17.7109375" bestFit="1" customWidth="1"/>
    <col min="2" max="2" width="24" bestFit="1" customWidth="1"/>
  </cols>
  <sheetData>
    <row r="1" spans="1:3">
      <c r="A1" t="s">
        <v>161</v>
      </c>
      <c r="B1" t="s">
        <v>160</v>
      </c>
      <c r="C1" t="s">
        <v>181</v>
      </c>
    </row>
    <row r="2" spans="1:3">
      <c r="A2" t="s">
        <v>170</v>
      </c>
      <c r="B2" t="s">
        <v>172</v>
      </c>
      <c r="C2" t="s">
        <v>182</v>
      </c>
    </row>
    <row r="3" spans="1:3">
      <c r="A3" t="s">
        <v>171</v>
      </c>
      <c r="B3" t="s">
        <v>173</v>
      </c>
      <c r="C3" t="s">
        <v>0</v>
      </c>
    </row>
    <row r="4" spans="1:3">
      <c r="A4" t="s">
        <v>158</v>
      </c>
      <c r="B4" t="s">
        <v>174</v>
      </c>
      <c r="C4" t="s">
        <v>3</v>
      </c>
    </row>
    <row r="5" spans="1:3">
      <c r="A5" t="s">
        <v>159</v>
      </c>
      <c r="B5" t="s">
        <v>175</v>
      </c>
      <c r="C5" t="s">
        <v>126</v>
      </c>
    </row>
    <row r="6" spans="1:3">
      <c r="A6" t="s">
        <v>170</v>
      </c>
      <c r="B6" t="s">
        <v>172</v>
      </c>
      <c r="C6" t="s">
        <v>183</v>
      </c>
    </row>
    <row r="7" spans="1:3">
      <c r="A7" t="s">
        <v>171</v>
      </c>
      <c r="B7" t="s">
        <v>173</v>
      </c>
      <c r="C7" t="s">
        <v>101</v>
      </c>
    </row>
    <row r="8" spans="1:3">
      <c r="A8" t="s">
        <v>167</v>
      </c>
      <c r="B8" t="s">
        <v>184</v>
      </c>
    </row>
    <row r="9" spans="1:3">
      <c r="A9" t="s">
        <v>167</v>
      </c>
      <c r="B9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C383-D3D2-41AC-9602-C7FC287589BE}">
  <sheetPr codeName="Sheet28"/>
  <dimension ref="A1:B5"/>
  <sheetViews>
    <sheetView workbookViewId="0"/>
  </sheetViews>
  <sheetFormatPr defaultRowHeight="15"/>
  <sheetData>
    <row r="1" spans="1:2">
      <c r="A1" t="s">
        <v>161</v>
      </c>
      <c r="B1" t="s">
        <v>160</v>
      </c>
    </row>
    <row r="2" spans="1:2">
      <c r="A2" t="s">
        <v>177</v>
      </c>
      <c r="B2" t="s">
        <v>179</v>
      </c>
    </row>
    <row r="3" spans="1:2">
      <c r="A3" t="s">
        <v>178</v>
      </c>
      <c r="B3" t="s">
        <v>180</v>
      </c>
    </row>
    <row r="4" spans="1:2">
      <c r="A4" t="s">
        <v>158</v>
      </c>
      <c r="B4" t="s">
        <v>162</v>
      </c>
    </row>
    <row r="5" spans="1:2">
      <c r="A5" t="s">
        <v>159</v>
      </c>
      <c r="B5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88A25-23FF-49AF-8911-4EF8635E24B4}">
  <sheetPr codeName="Sheet29"/>
  <dimension ref="A1:B4"/>
  <sheetViews>
    <sheetView workbookViewId="0"/>
  </sheetViews>
  <sheetFormatPr defaultRowHeight="15"/>
  <sheetData>
    <row r="1" spans="1:2">
      <c r="A1" t="s">
        <v>161</v>
      </c>
      <c r="B1" t="s">
        <v>160</v>
      </c>
    </row>
    <row r="2" spans="1:2">
      <c r="A2" t="s">
        <v>167</v>
      </c>
      <c r="B2" t="s">
        <v>168</v>
      </c>
    </row>
    <row r="3" spans="1:2">
      <c r="A3" t="s">
        <v>695</v>
      </c>
      <c r="B3" t="s">
        <v>169</v>
      </c>
    </row>
    <row r="4" spans="1:2">
      <c r="A4" t="s">
        <v>168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213F-0033-4E8B-BB39-6E010C18AC98}">
  <sheetPr codeName="Sheet32"/>
  <dimension ref="A1:B4"/>
  <sheetViews>
    <sheetView workbookViewId="0"/>
  </sheetViews>
  <sheetFormatPr defaultRowHeight="15"/>
  <cols>
    <col min="1" max="1" width="10.5703125" bestFit="1" customWidth="1"/>
  </cols>
  <sheetData>
    <row r="1" spans="1:2">
      <c r="A1" t="s">
        <v>161</v>
      </c>
      <c r="B1" t="s">
        <v>160</v>
      </c>
    </row>
    <row r="2" spans="1:2">
      <c r="A2" t="s">
        <v>164</v>
      </c>
      <c r="B2" t="s">
        <v>165</v>
      </c>
    </row>
    <row r="3" spans="1:2">
      <c r="A3" t="s">
        <v>164</v>
      </c>
      <c r="B3" t="s">
        <v>166</v>
      </c>
    </row>
    <row r="4" spans="1:2">
      <c r="A4" t="s">
        <v>167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2EB5-36EF-43C5-8E6E-4911AA5C46F4}">
  <sheetPr codeName="Sheet21">
    <tabColor theme="4" tint="0.59999389629810485"/>
  </sheetPr>
  <dimension ref="A1:XFB111"/>
  <sheetViews>
    <sheetView topLeftCell="A43" workbookViewId="0">
      <selection activeCell="C60" sqref="C60"/>
    </sheetView>
  </sheetViews>
  <sheetFormatPr defaultRowHeight="15"/>
  <cols>
    <col min="1" max="1" width="23.7109375" style="7" customWidth="1"/>
    <col min="2" max="2" width="34.7109375" style="5" customWidth="1"/>
    <col min="3" max="3" width="30.85546875" style="5" customWidth="1"/>
    <col min="4" max="4" width="15.28515625" style="5" customWidth="1"/>
    <col min="5" max="5" width="20.7109375" style="5" customWidth="1"/>
    <col min="6" max="6" width="8.140625" style="9" customWidth="1"/>
    <col min="7" max="7" width="14.5703125" style="15" customWidth="1"/>
    <col min="8" max="8" width="19" style="16" customWidth="1"/>
    <col min="9" max="10" width="9.140625" style="7"/>
    <col min="11" max="16382" width="0" style="7" hidden="1" customWidth="1"/>
    <col min="16383" max="16384" width="9.140625" style="12"/>
  </cols>
  <sheetData>
    <row r="1" spans="1:9">
      <c r="A1" s="1"/>
      <c r="B1" s="2"/>
      <c r="C1" s="2"/>
      <c r="D1" s="2"/>
      <c r="E1" s="2"/>
      <c r="F1" s="8"/>
      <c r="G1" s="6" t="s">
        <v>533</v>
      </c>
      <c r="H1" s="10" t="s">
        <v>536</v>
      </c>
      <c r="I1" s="1" t="s">
        <v>558</v>
      </c>
    </row>
    <row r="2" spans="1:9">
      <c r="G2" s="15" t="s">
        <v>530</v>
      </c>
      <c r="H2" s="16" t="s">
        <v>498</v>
      </c>
    </row>
    <row r="3" spans="1:9">
      <c r="A3" s="1"/>
      <c r="G3" s="15" t="s">
        <v>531</v>
      </c>
      <c r="H3" s="16" t="s">
        <v>445</v>
      </c>
    </row>
    <row r="4" spans="1:9">
      <c r="A4" s="7" t="s">
        <v>496</v>
      </c>
      <c r="B4" s="17" t="str">
        <f>retThisWbName()</f>
        <v>DB.xlsm</v>
      </c>
      <c r="C4" s="5" t="s">
        <v>498</v>
      </c>
      <c r="D4" s="5" t="s">
        <v>0</v>
      </c>
      <c r="E4" s="5" t="s">
        <v>3</v>
      </c>
      <c r="G4" s="15" t="s">
        <v>532</v>
      </c>
      <c r="H4" s="16" t="s">
        <v>446</v>
      </c>
    </row>
    <row r="5" spans="1:9">
      <c r="A5" s="18" t="s">
        <v>19</v>
      </c>
      <c r="B5" s="4" t="s">
        <v>133</v>
      </c>
      <c r="C5" s="2" t="s">
        <v>505</v>
      </c>
      <c r="H5" s="16" t="s">
        <v>690</v>
      </c>
    </row>
    <row r="6" spans="1:9">
      <c r="A6" s="18" t="s">
        <v>19</v>
      </c>
      <c r="B6" s="4"/>
      <c r="C6" s="2"/>
      <c r="H6" s="16" t="s">
        <v>366</v>
      </c>
    </row>
    <row r="7" spans="1:9">
      <c r="A7" s="18" t="s">
        <v>19</v>
      </c>
      <c r="B7" s="7" t="s">
        <v>497</v>
      </c>
      <c r="C7" s="17" t="str">
        <f>_xlfn.TEXTJOIN(",",TRUE,$C$8:$C$16)</f>
        <v>LinkSht,LinkShtDB,LinkShtSQL,LinkShtClt,DIFF,PRE,DB,CLT</v>
      </c>
      <c r="H7" s="16" t="s">
        <v>537</v>
      </c>
    </row>
    <row r="8" spans="1:9">
      <c r="A8" s="18"/>
      <c r="B8" s="7"/>
      <c r="C8" s="17"/>
    </row>
    <row r="9" spans="1:9">
      <c r="A9" s="18" t="s">
        <v>19</v>
      </c>
      <c r="C9" s="11" t="s">
        <v>498</v>
      </c>
      <c r="H9" s="16" t="s">
        <v>538</v>
      </c>
    </row>
    <row r="10" spans="1:9">
      <c r="A10" s="18" t="s">
        <v>19</v>
      </c>
      <c r="C10" s="11" t="s">
        <v>445</v>
      </c>
      <c r="H10" s="16" t="s">
        <v>539</v>
      </c>
    </row>
    <row r="11" spans="1:9">
      <c r="A11" s="18" t="s">
        <v>19</v>
      </c>
      <c r="C11" s="11" t="s">
        <v>446</v>
      </c>
      <c r="H11" s="16" t="s">
        <v>540</v>
      </c>
    </row>
    <row r="12" spans="1:9">
      <c r="A12" s="18" t="s">
        <v>19</v>
      </c>
      <c r="C12" s="11" t="s">
        <v>502</v>
      </c>
      <c r="H12" s="16" t="s">
        <v>541</v>
      </c>
    </row>
    <row r="13" spans="1:9">
      <c r="A13" s="18" t="s">
        <v>19</v>
      </c>
      <c r="C13" s="11" t="s">
        <v>503</v>
      </c>
      <c r="H13" s="16" t="s">
        <v>542</v>
      </c>
    </row>
    <row r="14" spans="1:9">
      <c r="A14" s="18" t="s">
        <v>19</v>
      </c>
      <c r="C14" s="11" t="s">
        <v>500</v>
      </c>
      <c r="H14" s="16" t="s">
        <v>543</v>
      </c>
    </row>
    <row r="15" spans="1:9">
      <c r="A15" s="18" t="s">
        <v>19</v>
      </c>
      <c r="C15" s="11" t="s">
        <v>499</v>
      </c>
      <c r="H15" s="16" t="s">
        <v>544</v>
      </c>
    </row>
    <row r="16" spans="1:9">
      <c r="A16" s="18" t="s">
        <v>19</v>
      </c>
      <c r="C16" s="11" t="s">
        <v>655</v>
      </c>
      <c r="H16" s="16" t="s">
        <v>380</v>
      </c>
    </row>
    <row r="17" spans="1:8">
      <c r="A17" s="18" t="s">
        <v>19</v>
      </c>
      <c r="H17" s="16" t="s">
        <v>406</v>
      </c>
    </row>
    <row r="18" spans="1:8">
      <c r="A18" s="18" t="s">
        <v>19</v>
      </c>
      <c r="H18" s="16" t="s">
        <v>372</v>
      </c>
    </row>
    <row r="19" spans="1:8">
      <c r="A19" s="18" t="s">
        <v>19</v>
      </c>
      <c r="B19" s="7" t="s">
        <v>501</v>
      </c>
      <c r="C19" s="5">
        <v>1</v>
      </c>
      <c r="H19" s="16" t="s">
        <v>226</v>
      </c>
    </row>
    <row r="20" spans="1:8">
      <c r="A20" s="18" t="s">
        <v>19</v>
      </c>
      <c r="B20" s="7" t="s">
        <v>504</v>
      </c>
      <c r="C20" s="5" t="str">
        <f>_xlfn.TEXTJOIN(",",TRUE,$C$21:$C$24)</f>
        <v>DB,PRE,DIFF,TEST</v>
      </c>
      <c r="H20" s="16" t="s">
        <v>225</v>
      </c>
    </row>
    <row r="21" spans="1:8">
      <c r="A21" s="18" t="s">
        <v>19</v>
      </c>
      <c r="C21" s="11" t="s">
        <v>499</v>
      </c>
      <c r="H21" s="16" t="s">
        <v>224</v>
      </c>
    </row>
    <row r="22" spans="1:8">
      <c r="A22" s="18" t="s">
        <v>19</v>
      </c>
      <c r="C22" s="11" t="s">
        <v>500</v>
      </c>
      <c r="H22" s="16" t="s">
        <v>230</v>
      </c>
    </row>
    <row r="23" spans="1:8">
      <c r="A23" s="18" t="s">
        <v>19</v>
      </c>
      <c r="C23" s="11" t="s">
        <v>503</v>
      </c>
      <c r="H23" s="16" t="s">
        <v>229</v>
      </c>
    </row>
    <row r="24" spans="1:8">
      <c r="A24" s="18" t="s">
        <v>19</v>
      </c>
      <c r="C24" s="11" t="s">
        <v>471</v>
      </c>
      <c r="H24" s="16" t="s">
        <v>231</v>
      </c>
    </row>
    <row r="25" spans="1:8">
      <c r="A25" s="18" t="s">
        <v>19</v>
      </c>
      <c r="H25" s="16" t="s">
        <v>228</v>
      </c>
    </row>
    <row r="26" spans="1:8">
      <c r="A26" s="18" t="s">
        <v>19</v>
      </c>
      <c r="B26" s="7"/>
      <c r="H26" s="16" t="s">
        <v>232</v>
      </c>
    </row>
    <row r="27" spans="1:8">
      <c r="A27" s="18" t="s">
        <v>19</v>
      </c>
      <c r="H27" s="16" t="s">
        <v>233</v>
      </c>
    </row>
    <row r="28" spans="1:8">
      <c r="A28" s="18" t="s">
        <v>19</v>
      </c>
      <c r="H28" s="16" t="s">
        <v>545</v>
      </c>
    </row>
    <row r="29" spans="1:8">
      <c r="A29" s="18" t="s">
        <v>19</v>
      </c>
      <c r="B29" s="17" t="s">
        <v>508</v>
      </c>
      <c r="C29" s="7" t="s">
        <v>507</v>
      </c>
      <c r="H29" s="16" t="s">
        <v>227</v>
      </c>
    </row>
    <row r="30" spans="1:8">
      <c r="A30" s="18" t="s">
        <v>19</v>
      </c>
      <c r="B30" s="17" t="s">
        <v>506</v>
      </c>
      <c r="C30" s="5" t="s">
        <v>509</v>
      </c>
      <c r="H30" s="16" t="s">
        <v>223</v>
      </c>
    </row>
    <row r="31" spans="1:8">
      <c r="A31" s="18" t="s">
        <v>19</v>
      </c>
      <c r="B31" s="17" t="s">
        <v>510</v>
      </c>
      <c r="C31" s="5" t="s">
        <v>511</v>
      </c>
      <c r="H31" s="16" t="s">
        <v>154</v>
      </c>
    </row>
    <row r="32" spans="1:8">
      <c r="A32" s="18" t="s">
        <v>19</v>
      </c>
      <c r="B32" s="17" t="s">
        <v>512</v>
      </c>
      <c r="C32" s="5">
        <v>20</v>
      </c>
      <c r="H32" s="16" t="s">
        <v>66</v>
      </c>
    </row>
    <row r="33" spans="1:8">
      <c r="A33" s="18" t="s">
        <v>19</v>
      </c>
      <c r="H33" s="16" t="s">
        <v>65</v>
      </c>
    </row>
    <row r="34" spans="1:8">
      <c r="A34" s="18" t="s">
        <v>19</v>
      </c>
      <c r="B34" s="17"/>
      <c r="F34" s="19"/>
      <c r="H34" s="16" t="s">
        <v>64</v>
      </c>
    </row>
    <row r="35" spans="1:8">
      <c r="A35" s="18" t="s">
        <v>19</v>
      </c>
      <c r="B35" s="17"/>
      <c r="F35" s="19"/>
      <c r="H35" s="16" t="s">
        <v>63</v>
      </c>
    </row>
    <row r="36" spans="1:8">
      <c r="A36" s="18" t="s">
        <v>19</v>
      </c>
      <c r="B36" s="17" t="s">
        <v>528</v>
      </c>
      <c r="C36" s="5" t="s">
        <v>498</v>
      </c>
      <c r="F36" s="19"/>
      <c r="H36" s="16" t="s">
        <v>62</v>
      </c>
    </row>
    <row r="37" spans="1:8">
      <c r="B37" s="17" t="s">
        <v>529</v>
      </c>
      <c r="C37" s="16" t="s">
        <v>533</v>
      </c>
      <c r="F37" s="19"/>
      <c r="H37" s="16" t="s">
        <v>61</v>
      </c>
    </row>
    <row r="38" spans="1:8">
      <c r="F38" s="19"/>
      <c r="H38" s="16" t="s">
        <v>60</v>
      </c>
    </row>
    <row r="39" spans="1:8">
      <c r="C39" s="5" t="s">
        <v>514</v>
      </c>
      <c r="F39" s="19"/>
      <c r="H39" s="16" t="s">
        <v>546</v>
      </c>
    </row>
    <row r="40" spans="1:8">
      <c r="B40" s="5" t="s">
        <v>527</v>
      </c>
      <c r="F40" s="19"/>
      <c r="H40" s="16" t="s">
        <v>424</v>
      </c>
    </row>
    <row r="41" spans="1:8">
      <c r="B41" s="17" t="s">
        <v>515</v>
      </c>
      <c r="C41" s="7" t="s">
        <v>513</v>
      </c>
      <c r="F41" s="19"/>
      <c r="H41" s="16" t="s">
        <v>421</v>
      </c>
    </row>
    <row r="42" spans="1:8">
      <c r="A42" s="16"/>
      <c r="B42" s="16"/>
      <c r="C42" s="16"/>
      <c r="D42" s="16"/>
      <c r="E42" s="16"/>
      <c r="F42" s="19"/>
      <c r="H42" s="16" t="s">
        <v>442</v>
      </c>
    </row>
    <row r="43" spans="1:8">
      <c r="H43" s="16" t="s">
        <v>363</v>
      </c>
    </row>
    <row r="44" spans="1:8">
      <c r="B44" s="17" t="s">
        <v>534</v>
      </c>
      <c r="C44" s="5" t="s">
        <v>498</v>
      </c>
      <c r="H44" s="16" t="s">
        <v>362</v>
      </c>
    </row>
    <row r="45" spans="1:8">
      <c r="B45" s="17" t="s">
        <v>535</v>
      </c>
      <c r="C45" s="5" t="s">
        <v>536</v>
      </c>
      <c r="H45" s="16" t="s">
        <v>361</v>
      </c>
    </row>
    <row r="46" spans="1:8">
      <c r="H46" s="16" t="s">
        <v>360</v>
      </c>
    </row>
    <row r="47" spans="1:8">
      <c r="H47" s="16" t="s">
        <v>359</v>
      </c>
    </row>
    <row r="48" spans="1:8">
      <c r="H48" s="16" t="s">
        <v>437</v>
      </c>
    </row>
    <row r="49" spans="2:8">
      <c r="H49" s="16" t="s">
        <v>439</v>
      </c>
    </row>
    <row r="50" spans="2:8">
      <c r="H50" s="16" t="s">
        <v>435</v>
      </c>
    </row>
    <row r="51" spans="2:8">
      <c r="B51" s="17" t="s">
        <v>557</v>
      </c>
      <c r="C51" s="5" t="str">
        <f>_xlfn.TEXTJOIN(",",TRUE,$C$52:$C$55)</f>
        <v>^n:createNewWindow</v>
      </c>
      <c r="D51" s="2" t="s">
        <v>133</v>
      </c>
      <c r="E51" s="2" t="s">
        <v>556</v>
      </c>
      <c r="H51" s="16" t="s">
        <v>433</v>
      </c>
    </row>
    <row r="52" spans="2:8">
      <c r="C52" s="11" t="str">
        <f>D52&amp;":"&amp;E52</f>
        <v>^n:createNewWindow</v>
      </c>
      <c r="D52" s="5" t="s">
        <v>554</v>
      </c>
      <c r="E52" s="5" t="s">
        <v>555</v>
      </c>
      <c r="H52" s="16" t="s">
        <v>358</v>
      </c>
    </row>
    <row r="53" spans="2:8">
      <c r="C53" s="11"/>
      <c r="H53" s="16" t="s">
        <v>357</v>
      </c>
    </row>
    <row r="54" spans="2:8">
      <c r="C54" s="11"/>
      <c r="H54" s="16" t="s">
        <v>356</v>
      </c>
    </row>
    <row r="55" spans="2:8">
      <c r="C55" s="11"/>
      <c r="H55" s="16" t="s">
        <v>355</v>
      </c>
    </row>
    <row r="56" spans="2:8">
      <c r="H56" s="16" t="s">
        <v>354</v>
      </c>
    </row>
    <row r="57" spans="2:8">
      <c r="H57" s="16" t="s">
        <v>427</v>
      </c>
    </row>
    <row r="58" spans="2:8">
      <c r="H58" s="16" t="s">
        <v>430</v>
      </c>
    </row>
    <row r="59" spans="2:8">
      <c r="B59" s="17" t="s">
        <v>560</v>
      </c>
      <c r="C59" s="5" t="s">
        <v>1345</v>
      </c>
      <c r="H59" s="16" t="s">
        <v>547</v>
      </c>
    </row>
    <row r="60" spans="2:8">
      <c r="H60" s="16" t="s">
        <v>548</v>
      </c>
    </row>
    <row r="61" spans="2:8">
      <c r="H61" s="16" t="s">
        <v>502</v>
      </c>
    </row>
    <row r="62" spans="2:8">
      <c r="H62" s="16" t="s">
        <v>549</v>
      </c>
    </row>
    <row r="63" spans="2:8">
      <c r="H63" s="16" t="s">
        <v>550</v>
      </c>
    </row>
    <row r="64" spans="2:8">
      <c r="B64" s="5" t="s">
        <v>559</v>
      </c>
      <c r="H64" s="16" t="s">
        <v>551</v>
      </c>
    </row>
    <row r="65" spans="1:8">
      <c r="H65" s="16" t="s">
        <v>552</v>
      </c>
    </row>
    <row r="66" spans="1:8">
      <c r="H66" s="16" t="s">
        <v>553</v>
      </c>
    </row>
    <row r="68" spans="1:8">
      <c r="A68" s="21" t="s">
        <v>699</v>
      </c>
      <c r="B68" s="7" t="s">
        <v>1283</v>
      </c>
      <c r="C68" s="17" t="str">
        <f>_xlfn.TEXTJOIN(",",TRUE,$C$69:$C$72)</f>
        <v>BSET_LIST1,BSET_LIST2</v>
      </c>
    </row>
    <row r="69" spans="1:8">
      <c r="A69" s="21" t="s">
        <v>699</v>
      </c>
      <c r="B69" s="7"/>
      <c r="C69" s="30" t="s">
        <v>1278</v>
      </c>
    </row>
    <row r="70" spans="1:8">
      <c r="A70" s="21" t="s">
        <v>699</v>
      </c>
      <c r="C70" s="30" t="s">
        <v>1282</v>
      </c>
    </row>
    <row r="71" spans="1:8">
      <c r="A71" s="21" t="s">
        <v>699</v>
      </c>
      <c r="C71" s="11"/>
    </row>
    <row r="72" spans="1:8">
      <c r="A72" s="21" t="s">
        <v>699</v>
      </c>
      <c r="C72" s="11"/>
    </row>
    <row r="73" spans="1:8">
      <c r="A73" s="21" t="s">
        <v>699</v>
      </c>
      <c r="B73" s="21"/>
      <c r="C73" s="2"/>
    </row>
    <row r="74" spans="1:8">
      <c r="A74" s="21" t="s">
        <v>699</v>
      </c>
      <c r="B74" s="21" t="s">
        <v>1284</v>
      </c>
      <c r="C74" s="5">
        <v>10</v>
      </c>
    </row>
    <row r="75" spans="1:8">
      <c r="A75" s="21" t="s">
        <v>699</v>
      </c>
      <c r="B75" s="21"/>
      <c r="C75" s="2"/>
    </row>
    <row r="76" spans="1:8">
      <c r="A76" s="21" t="s">
        <v>699</v>
      </c>
      <c r="B76" s="48" t="s">
        <v>133</v>
      </c>
      <c r="C76" s="17" t="s">
        <v>134</v>
      </c>
    </row>
    <row r="77" spans="1:8" s="7" customFormat="1">
      <c r="A77" s="21" t="s">
        <v>699</v>
      </c>
      <c r="B77" s="21" t="s">
        <v>1280</v>
      </c>
      <c r="C77" s="5" t="s">
        <v>1313</v>
      </c>
    </row>
    <row r="78" spans="1:8">
      <c r="A78" s="21" t="s">
        <v>699</v>
      </c>
      <c r="B78" s="21" t="s">
        <v>1279</v>
      </c>
      <c r="C78" s="5" t="s">
        <v>9</v>
      </c>
    </row>
    <row r="79" spans="1:8">
      <c r="A79" s="21" t="s">
        <v>699</v>
      </c>
      <c r="B79" s="21" t="s">
        <v>1285</v>
      </c>
      <c r="C79" s="5" t="s">
        <v>3</v>
      </c>
    </row>
    <row r="80" spans="1:8">
      <c r="A80" s="21" t="s">
        <v>699</v>
      </c>
      <c r="B80" s="21" t="s">
        <v>1281</v>
      </c>
      <c r="C80" s="5" t="s">
        <v>1275</v>
      </c>
    </row>
    <row r="81" spans="1:4">
      <c r="A81" s="21" t="s">
        <v>699</v>
      </c>
      <c r="B81" s="21" t="s">
        <v>1277</v>
      </c>
      <c r="C81" s="5" t="s">
        <v>1276</v>
      </c>
    </row>
    <row r="82" spans="1:4">
      <c r="A82" s="21" t="s">
        <v>699</v>
      </c>
      <c r="B82" s="21" t="s">
        <v>1286</v>
      </c>
      <c r="C82" s="5" t="s">
        <v>182</v>
      </c>
    </row>
    <row r="83" spans="1:4">
      <c r="A83" s="21" t="s">
        <v>699</v>
      </c>
      <c r="B83" s="21" t="s">
        <v>1294</v>
      </c>
      <c r="C83" s="5" t="s">
        <v>1295</v>
      </c>
      <c r="D83" s="5" t="s">
        <v>1304</v>
      </c>
    </row>
    <row r="84" spans="1:4">
      <c r="A84" s="21" t="s">
        <v>699</v>
      </c>
      <c r="B84" s="21" t="s">
        <v>1296</v>
      </c>
      <c r="C84" s="5" t="s">
        <v>1297</v>
      </c>
    </row>
    <row r="85" spans="1:4">
      <c r="A85" s="21" t="s">
        <v>699</v>
      </c>
      <c r="B85" s="21" t="s">
        <v>1298</v>
      </c>
      <c r="C85" s="5" t="s">
        <v>1305</v>
      </c>
    </row>
    <row r="86" spans="1:4">
      <c r="A86" s="21" t="s">
        <v>699</v>
      </c>
      <c r="B86" s="21" t="s">
        <v>1299</v>
      </c>
      <c r="C86" s="5" t="s">
        <v>1306</v>
      </c>
    </row>
    <row r="87" spans="1:4">
      <c r="A87" s="21" t="s">
        <v>699</v>
      </c>
    </row>
    <row r="88" spans="1:4">
      <c r="A88" s="21" t="s">
        <v>699</v>
      </c>
    </row>
    <row r="89" spans="1:4">
      <c r="A89" s="21" t="s">
        <v>699</v>
      </c>
      <c r="B89" s="21" t="s">
        <v>1287</v>
      </c>
      <c r="C89" s="5" t="s">
        <v>1313</v>
      </c>
    </row>
    <row r="90" spans="1:4">
      <c r="A90" s="21" t="s">
        <v>699</v>
      </c>
      <c r="B90" s="21" t="s">
        <v>1288</v>
      </c>
      <c r="C90" s="5" t="s">
        <v>9</v>
      </c>
    </row>
    <row r="91" spans="1:4">
      <c r="A91" s="21" t="s">
        <v>699</v>
      </c>
      <c r="B91" s="21" t="s">
        <v>1289</v>
      </c>
      <c r="C91" s="5" t="s">
        <v>3</v>
      </c>
    </row>
    <row r="92" spans="1:4">
      <c r="A92" s="21" t="s">
        <v>699</v>
      </c>
      <c r="B92" s="21" t="s">
        <v>1290</v>
      </c>
      <c r="C92" s="5" t="s">
        <v>1275</v>
      </c>
    </row>
    <row r="93" spans="1:4">
      <c r="A93" s="21" t="s">
        <v>699</v>
      </c>
      <c r="B93" s="21" t="s">
        <v>1291</v>
      </c>
      <c r="C93" s="5" t="s">
        <v>1293</v>
      </c>
    </row>
    <row r="94" spans="1:4">
      <c r="A94" s="21" t="s">
        <v>699</v>
      </c>
      <c r="B94" s="21" t="s">
        <v>1292</v>
      </c>
      <c r="C94" s="5" t="s">
        <v>182</v>
      </c>
    </row>
    <row r="95" spans="1:4">
      <c r="A95" s="21" t="s">
        <v>699</v>
      </c>
      <c r="B95" s="21" t="s">
        <v>1300</v>
      </c>
      <c r="C95" s="5" t="s">
        <v>1295</v>
      </c>
    </row>
    <row r="96" spans="1:4">
      <c r="A96" s="21" t="s">
        <v>699</v>
      </c>
      <c r="B96" s="21" t="s">
        <v>1301</v>
      </c>
      <c r="C96" s="5" t="s">
        <v>1297</v>
      </c>
    </row>
    <row r="97" spans="1:3">
      <c r="A97" s="21" t="s">
        <v>699</v>
      </c>
      <c r="B97" s="21" t="s">
        <v>1302</v>
      </c>
      <c r="C97" s="5" t="s">
        <v>1305</v>
      </c>
    </row>
    <row r="98" spans="1:3">
      <c r="A98" s="21" t="s">
        <v>699</v>
      </c>
      <c r="B98" s="21" t="s">
        <v>1303</v>
      </c>
      <c r="C98" s="5" t="s">
        <v>1306</v>
      </c>
    </row>
    <row r="99" spans="1:3">
      <c r="B99" s="21"/>
    </row>
    <row r="102" spans="1:3">
      <c r="B102" s="7" t="s">
        <v>1310</v>
      </c>
      <c r="C102" s="17" t="str">
        <f>_xlfn.TEXTJOIN(",",TRUE,$C$103:$C$106)</f>
        <v>CDPL_LIST1</v>
      </c>
    </row>
    <row r="103" spans="1:3">
      <c r="B103" s="7"/>
      <c r="C103" s="30" t="s">
        <v>1307</v>
      </c>
    </row>
    <row r="104" spans="1:3">
      <c r="C104" s="30"/>
    </row>
    <row r="105" spans="1:3">
      <c r="A105"/>
      <c r="C105" s="11"/>
    </row>
    <row r="106" spans="1:3">
      <c r="A106"/>
      <c r="C106" s="11"/>
    </row>
    <row r="107" spans="1:3">
      <c r="A107"/>
    </row>
    <row r="108" spans="1:3">
      <c r="A108"/>
      <c r="B108" s="21" t="s">
        <v>1308</v>
      </c>
      <c r="C108" s="5" t="s">
        <v>1313</v>
      </c>
    </row>
    <row r="109" spans="1:3">
      <c r="A109"/>
      <c r="B109" s="21" t="s">
        <v>1309</v>
      </c>
      <c r="C109" s="5" t="s">
        <v>9</v>
      </c>
    </row>
    <row r="110" spans="1:3">
      <c r="A110"/>
      <c r="B110" s="21" t="s">
        <v>1311</v>
      </c>
      <c r="C110" s="5" t="s">
        <v>1312</v>
      </c>
    </row>
    <row r="111" spans="1:3">
      <c r="A111"/>
    </row>
  </sheetData>
  <sortState xmlns:xlrd2="http://schemas.microsoft.com/office/spreadsheetml/2017/richdata2" ref="A87:A92">
    <sortCondition ref="A87:A92"/>
  </sortState>
  <pageMargins left="0.7" right="0.7" top="0.75" bottom="0.75" header="0.3" footer="0.3"/>
  <pageSetup paperSize="13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31A-FEDF-4D86-86D7-059E6BFAB297}">
  <sheetPr codeName="Sheet45">
    <tabColor theme="4" tint="0.59999389629810485"/>
  </sheetPr>
  <dimension ref="A1:XFD298"/>
  <sheetViews>
    <sheetView topLeftCell="A157" workbookViewId="0">
      <selection activeCell="C160" sqref="C160"/>
    </sheetView>
  </sheetViews>
  <sheetFormatPr defaultRowHeight="15"/>
  <cols>
    <col min="1" max="1" width="35.7109375" style="7" customWidth="1"/>
    <col min="2" max="2" width="38.140625" style="5" customWidth="1"/>
    <col min="3" max="3" width="20" style="5" customWidth="1"/>
    <col min="4" max="5" width="10.42578125" style="5" customWidth="1"/>
    <col min="6" max="6" width="15.5703125" style="7" customWidth="1"/>
    <col min="7" max="7" width="14.85546875" style="5" customWidth="1"/>
    <col min="8" max="8" width="15" style="5" customWidth="1"/>
    <col min="9" max="9" width="17" style="5" customWidth="1"/>
    <col min="10" max="10" width="20.28515625" style="5" customWidth="1"/>
    <col min="11" max="11" width="25.5703125" style="5" customWidth="1"/>
    <col min="12" max="12" width="28.7109375" style="5" customWidth="1"/>
    <col min="13" max="13" width="28.42578125" style="5" customWidth="1"/>
    <col min="14" max="14" width="30.42578125" style="5" customWidth="1"/>
    <col min="15" max="19" width="42.140625" style="5" customWidth="1"/>
    <col min="20" max="20" width="15.42578125" style="5" customWidth="1"/>
    <col min="21" max="21" width="9.140625" style="5" bestFit="1" customWidth="1"/>
    <col min="22" max="22" width="7.28515625" style="5" customWidth="1"/>
    <col min="23" max="23" width="12.7109375" style="5" customWidth="1"/>
    <col min="24" max="24" width="13" style="5" customWidth="1"/>
    <col min="25" max="49" width="9.140625" style="5" customWidth="1"/>
    <col min="50" max="50" width="6.5703125" style="5" customWidth="1"/>
    <col min="51" max="51" width="9.140625" style="5" customWidth="1"/>
    <col min="52" max="16383" width="0" style="20" hidden="1" customWidth="1"/>
    <col min="16384" max="16384" width="9.140625" style="20"/>
  </cols>
  <sheetData>
    <row r="1" spans="1:51 16384:16384">
      <c r="A1" s="1"/>
      <c r="B1" s="2"/>
      <c r="C1" s="2"/>
      <c r="D1" s="2"/>
      <c r="E1" s="2"/>
      <c r="F1" s="1"/>
      <c r="G1" s="2"/>
      <c r="H1" s="3"/>
    </row>
    <row r="2" spans="1:51 16384:16384">
      <c r="G2" s="2"/>
    </row>
    <row r="3" spans="1:51 16384:16384">
      <c r="G3" s="2"/>
    </row>
    <row r="4" spans="1:51 16384:16384">
      <c r="B4" s="7"/>
      <c r="C4" s="7"/>
      <c r="G4" s="2"/>
    </row>
    <row r="5" spans="1:51 16384:16384">
      <c r="B5" s="7"/>
      <c r="C5" s="7"/>
      <c r="G5" s="2"/>
    </row>
    <row r="6" spans="1:51 16384:16384">
      <c r="G6" s="2"/>
    </row>
    <row r="7" spans="1:51 16384:16384">
      <c r="A7" s="21"/>
      <c r="B7" s="21"/>
      <c r="C7" s="21"/>
      <c r="D7" s="21"/>
      <c r="E7" s="21"/>
      <c r="G7" s="2"/>
    </row>
    <row r="8" spans="1:51 16384:16384">
      <c r="B8" s="7"/>
      <c r="C8" s="7"/>
      <c r="G8" s="2"/>
    </row>
    <row r="9" spans="1:51 16384:16384">
      <c r="B9" s="7"/>
      <c r="C9" s="7"/>
      <c r="G9" s="2"/>
    </row>
    <row r="10" spans="1:51 16384:16384" s="23" customFormat="1">
      <c r="A10" s="7" t="s">
        <v>1104</v>
      </c>
      <c r="B10" s="17" t="str">
        <f>retThisWbName()</f>
        <v>DB.xlsm</v>
      </c>
      <c r="C10" s="5" t="s">
        <v>445</v>
      </c>
      <c r="D10" s="5" t="s">
        <v>0</v>
      </c>
      <c r="E10" s="5" t="s">
        <v>3</v>
      </c>
      <c r="F10" s="16"/>
      <c r="G10" s="22"/>
      <c r="H10" s="22"/>
      <c r="I10" s="22"/>
      <c r="J10" s="22"/>
      <c r="K10" s="5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5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5"/>
      <c r="XFD10" s="20"/>
    </row>
    <row r="11" spans="1:51 16384:16384" s="23" customFormat="1">
      <c r="A11" s="24" t="s">
        <v>19</v>
      </c>
      <c r="B11" s="4" t="s">
        <v>133</v>
      </c>
      <c r="C11" s="2" t="s">
        <v>350</v>
      </c>
      <c r="D11" s="5"/>
      <c r="E11" s="5"/>
      <c r="F11" s="16"/>
      <c r="G11" s="22"/>
      <c r="H11" s="22"/>
      <c r="I11" s="22"/>
      <c r="J11" s="22"/>
      <c r="K11" s="5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5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5"/>
      <c r="XFD11" s="20"/>
    </row>
    <row r="12" spans="1:51 16384:16384" s="23" customFormat="1">
      <c r="A12" s="24" t="s">
        <v>19</v>
      </c>
      <c r="B12" s="7" t="s">
        <v>782</v>
      </c>
      <c r="C12" s="15" t="str">
        <f>_xlfn.TEXTJOIN(",",TRUE,C13:C54)</f>
        <v>DB_PLC00_AEC_ANALOG,DB_PLC00_AEC_M,DB_PLC00_AEC_R,DB_PLC00_AEC_X,DB_PLC00_AEC_Y,DB_PLC00_OP_X,DB_PLC00_OP_Y,DB_PLC03_AEC_ANALOG,DB_PLC03_AEC_B,DB_PLC03_AEC_M,DB_PLC03_AEC_R,DB_PLC03_AEC_W,DB_PLC03_AEC_X,DB_PLC03_AEC_Y,DB_PLC03_HIRANO_ALM_W,DB_PLC03_HIRANO_DI_B,DB_PLC03_HIRANO_DO_B,DB_PLC03_HIRANO_PV_W,DB_PLC03_HIRANO_SV_W,DB_PLC03_KONDO_A2K_B,DB_PLC03_KONDO_K2A_B,DB_PLC03_KONDO_K2A_W,DB_PLC03_TYOUGOU_R</v>
      </c>
      <c r="D12" s="7"/>
      <c r="E12" s="7"/>
      <c r="F12" s="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22"/>
      <c r="AW12" s="22"/>
      <c r="AX12" s="22"/>
      <c r="AY12" s="5"/>
      <c r="XFD12" s="20"/>
    </row>
    <row r="13" spans="1:51 16384:16384" s="23" customFormat="1">
      <c r="A13" s="24" t="s">
        <v>19</v>
      </c>
      <c r="B13" s="24" t="s">
        <v>19</v>
      </c>
      <c r="C13" s="17"/>
      <c r="D13" s="17" t="s">
        <v>60</v>
      </c>
      <c r="E13" s="25"/>
      <c r="F13" s="25"/>
      <c r="G13" s="21"/>
      <c r="H13" s="7"/>
      <c r="I13" s="7"/>
      <c r="J13" s="7"/>
      <c r="K13" s="5"/>
      <c r="L13" s="7"/>
      <c r="M13" s="7"/>
      <c r="N13" s="7"/>
      <c r="O13" s="7"/>
      <c r="P13" s="7"/>
      <c r="Q13" s="7"/>
      <c r="R13" s="7"/>
      <c r="S13" s="7"/>
      <c r="T13" s="7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22"/>
      <c r="AW13" s="22"/>
      <c r="AX13" s="22"/>
      <c r="AY13" s="5"/>
      <c r="XFD13" s="20"/>
    </row>
    <row r="14" spans="1:51 16384:16384">
      <c r="A14" s="26" t="s">
        <v>19</v>
      </c>
      <c r="B14" s="26" t="s">
        <v>19</v>
      </c>
      <c r="C14" s="17"/>
      <c r="D14" s="17" t="s">
        <v>61</v>
      </c>
      <c r="E14" s="7"/>
    </row>
    <row r="15" spans="1:51 16384:16384">
      <c r="A15" s="26" t="s">
        <v>19</v>
      </c>
      <c r="B15" s="26" t="s">
        <v>19</v>
      </c>
      <c r="C15" s="17"/>
      <c r="D15" s="17" t="s">
        <v>62</v>
      </c>
    </row>
    <row r="16" spans="1:51 16384:16384">
      <c r="A16" s="26" t="s">
        <v>19</v>
      </c>
      <c r="B16" s="26" t="s">
        <v>19</v>
      </c>
      <c r="C16" s="17"/>
      <c r="D16" s="17" t="s">
        <v>63</v>
      </c>
    </row>
    <row r="17" spans="1:50">
      <c r="A17" s="26" t="s">
        <v>19</v>
      </c>
      <c r="B17" s="26" t="s">
        <v>19</v>
      </c>
      <c r="C17" s="17"/>
      <c r="D17" s="17" t="s">
        <v>64</v>
      </c>
    </row>
    <row r="18" spans="1:50">
      <c r="A18" s="26" t="s">
        <v>19</v>
      </c>
      <c r="B18" s="26" t="s">
        <v>19</v>
      </c>
      <c r="C18" s="17"/>
      <c r="D18" s="17" t="s">
        <v>65</v>
      </c>
    </row>
    <row r="19" spans="1:50">
      <c r="A19" s="26" t="s">
        <v>19</v>
      </c>
      <c r="B19" s="26" t="s">
        <v>19</v>
      </c>
      <c r="C19" s="17"/>
      <c r="D19" s="17" t="s">
        <v>66</v>
      </c>
    </row>
    <row r="20" spans="1:50">
      <c r="A20" s="26" t="s">
        <v>19</v>
      </c>
      <c r="B20" s="26" t="s">
        <v>19</v>
      </c>
      <c r="C20" s="17"/>
      <c r="D20" s="17" t="s">
        <v>154</v>
      </c>
    </row>
    <row r="21" spans="1:50">
      <c r="A21" s="26" t="s">
        <v>19</v>
      </c>
      <c r="B21" s="26" t="s">
        <v>19</v>
      </c>
      <c r="C21" s="17"/>
      <c r="D21" s="17" t="s">
        <v>223</v>
      </c>
    </row>
    <row r="22" spans="1:50">
      <c r="A22" s="26" t="s">
        <v>19</v>
      </c>
      <c r="B22" s="26" t="s">
        <v>19</v>
      </c>
      <c r="C22" s="17"/>
      <c r="D22" s="17" t="s">
        <v>227</v>
      </c>
    </row>
    <row r="23" spans="1:50">
      <c r="A23" s="26" t="s">
        <v>19</v>
      </c>
      <c r="B23" s="26" t="s">
        <v>19</v>
      </c>
      <c r="C23" s="17"/>
      <c r="D23" s="17" t="s">
        <v>233</v>
      </c>
    </row>
    <row r="24" spans="1:50">
      <c r="A24" s="26" t="s">
        <v>19</v>
      </c>
      <c r="B24" s="26" t="s">
        <v>19</v>
      </c>
      <c r="C24" s="17"/>
      <c r="D24" s="17" t="s">
        <v>232</v>
      </c>
    </row>
    <row r="25" spans="1:50">
      <c r="A25" s="26" t="s">
        <v>19</v>
      </c>
      <c r="B25" s="26" t="s">
        <v>19</v>
      </c>
      <c r="C25" s="17"/>
      <c r="D25" s="17" t="s">
        <v>228</v>
      </c>
    </row>
    <row r="26" spans="1:50">
      <c r="A26" s="26" t="s">
        <v>19</v>
      </c>
      <c r="B26" s="26" t="s">
        <v>19</v>
      </c>
      <c r="C26" s="17"/>
      <c r="D26" s="17" t="s">
        <v>231</v>
      </c>
    </row>
    <row r="27" spans="1:50">
      <c r="A27" s="26" t="s">
        <v>19</v>
      </c>
      <c r="B27" s="26" t="s">
        <v>19</v>
      </c>
      <c r="C27" s="17"/>
      <c r="D27" s="17" t="s">
        <v>229</v>
      </c>
    </row>
    <row r="28" spans="1:50">
      <c r="A28" s="26" t="s">
        <v>19</v>
      </c>
      <c r="B28" s="26" t="s">
        <v>19</v>
      </c>
      <c r="C28" s="17"/>
      <c r="D28" s="17" t="s">
        <v>230</v>
      </c>
    </row>
    <row r="29" spans="1:50">
      <c r="A29" s="26" t="s">
        <v>19</v>
      </c>
      <c r="B29" s="26" t="s">
        <v>19</v>
      </c>
      <c r="C29" s="17"/>
      <c r="D29" s="17" t="s">
        <v>224</v>
      </c>
    </row>
    <row r="30" spans="1:50">
      <c r="A30" s="26" t="s">
        <v>19</v>
      </c>
      <c r="B30" s="26" t="s">
        <v>19</v>
      </c>
      <c r="C30" s="17"/>
      <c r="D30" s="17" t="s">
        <v>225</v>
      </c>
    </row>
    <row r="31" spans="1:50">
      <c r="A31" s="26" t="s">
        <v>19</v>
      </c>
      <c r="B31" s="26" t="s">
        <v>19</v>
      </c>
      <c r="C31" s="17"/>
      <c r="D31" s="17" t="s">
        <v>226</v>
      </c>
      <c r="F31" s="27"/>
      <c r="G31" s="27"/>
      <c r="H31" s="27"/>
      <c r="I31" s="27"/>
      <c r="J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</row>
    <row r="32" spans="1:50">
      <c r="A32" s="26" t="s">
        <v>19</v>
      </c>
      <c r="B32" s="26" t="s">
        <v>19</v>
      </c>
      <c r="C32" s="17" t="s">
        <v>427</v>
      </c>
      <c r="D32" s="17" t="s">
        <v>427</v>
      </c>
      <c r="F32" s="27"/>
      <c r="G32" s="27"/>
      <c r="H32" s="27"/>
      <c r="I32" s="27"/>
      <c r="J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</row>
    <row r="33" spans="1:50">
      <c r="A33" s="26" t="s">
        <v>19</v>
      </c>
      <c r="B33" s="26" t="s">
        <v>19</v>
      </c>
      <c r="C33" s="17" t="s">
        <v>366</v>
      </c>
      <c r="D33" s="17" t="s">
        <v>366</v>
      </c>
      <c r="F33" s="27"/>
      <c r="G33" s="27"/>
      <c r="H33" s="27"/>
      <c r="I33" s="27"/>
      <c r="J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</row>
    <row r="34" spans="1:50">
      <c r="A34" s="26" t="s">
        <v>19</v>
      </c>
      <c r="B34" s="26" t="s">
        <v>19</v>
      </c>
      <c r="C34" s="17" t="s">
        <v>372</v>
      </c>
      <c r="D34" s="17" t="s">
        <v>372</v>
      </c>
      <c r="F34" s="27"/>
      <c r="G34" s="27"/>
      <c r="H34" s="27"/>
      <c r="I34" s="27"/>
      <c r="J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</row>
    <row r="35" spans="1:50">
      <c r="A35" s="26" t="s">
        <v>19</v>
      </c>
      <c r="B35" s="26" t="s">
        <v>19</v>
      </c>
      <c r="C35" s="17" t="s">
        <v>433</v>
      </c>
      <c r="D35" s="17" t="s">
        <v>433</v>
      </c>
      <c r="F35" s="27"/>
      <c r="G35" s="27"/>
      <c r="H35" s="27"/>
      <c r="I35" s="27"/>
      <c r="J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</row>
    <row r="36" spans="1:50">
      <c r="A36" s="26" t="s">
        <v>19</v>
      </c>
      <c r="B36" s="26" t="s">
        <v>19</v>
      </c>
      <c r="C36" s="17" t="s">
        <v>435</v>
      </c>
      <c r="D36" s="17" t="s">
        <v>435</v>
      </c>
      <c r="F36" s="27"/>
      <c r="G36" s="27"/>
      <c r="H36" s="27"/>
      <c r="I36" s="27"/>
      <c r="J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</row>
    <row r="37" spans="1:50">
      <c r="A37" s="26" t="s">
        <v>19</v>
      </c>
      <c r="B37" s="26" t="s">
        <v>19</v>
      </c>
      <c r="C37" s="17" t="s">
        <v>354</v>
      </c>
      <c r="D37" s="17" t="s">
        <v>354</v>
      </c>
      <c r="F37" s="27"/>
      <c r="G37" s="27"/>
      <c r="H37" s="27"/>
      <c r="I37" s="27"/>
      <c r="J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</row>
    <row r="38" spans="1:50">
      <c r="A38" s="26" t="s">
        <v>19</v>
      </c>
      <c r="B38" s="26" t="s">
        <v>19</v>
      </c>
      <c r="C38" s="17" t="s">
        <v>355</v>
      </c>
      <c r="D38" s="17" t="s">
        <v>355</v>
      </c>
      <c r="F38" s="27"/>
      <c r="G38" s="27"/>
      <c r="H38" s="27"/>
      <c r="I38" s="27"/>
      <c r="J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</row>
    <row r="39" spans="1:50">
      <c r="A39" s="26" t="s">
        <v>19</v>
      </c>
      <c r="B39" s="26" t="s">
        <v>19</v>
      </c>
      <c r="C39" s="17" t="s">
        <v>430</v>
      </c>
      <c r="D39" s="17" t="s">
        <v>430</v>
      </c>
      <c r="F39" s="27"/>
      <c r="G39" s="27"/>
      <c r="H39" s="27"/>
      <c r="I39" s="27"/>
      <c r="J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</row>
    <row r="40" spans="1:50">
      <c r="A40" s="26" t="s">
        <v>19</v>
      </c>
      <c r="B40" s="26" t="s">
        <v>19</v>
      </c>
      <c r="C40" s="17" t="s">
        <v>421</v>
      </c>
      <c r="D40" s="17" t="s">
        <v>421</v>
      </c>
      <c r="F40" s="27"/>
      <c r="G40" s="27"/>
      <c r="H40" s="27"/>
      <c r="I40" s="27"/>
      <c r="J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</row>
    <row r="41" spans="1:50">
      <c r="A41" s="26" t="s">
        <v>19</v>
      </c>
      <c r="B41" s="26" t="s">
        <v>19</v>
      </c>
      <c r="C41" s="17" t="s">
        <v>406</v>
      </c>
      <c r="D41" s="17" t="s">
        <v>406</v>
      </c>
      <c r="F41" s="27"/>
      <c r="G41" s="27"/>
      <c r="H41" s="27"/>
      <c r="I41" s="27"/>
      <c r="J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</row>
    <row r="42" spans="1:50">
      <c r="A42" s="26" t="s">
        <v>19</v>
      </c>
      <c r="B42" s="26" t="s">
        <v>19</v>
      </c>
      <c r="C42" s="17" t="s">
        <v>380</v>
      </c>
      <c r="D42" s="17" t="s">
        <v>380</v>
      </c>
      <c r="F42" s="27"/>
      <c r="G42" s="27"/>
      <c r="H42" s="27"/>
      <c r="I42" s="27"/>
      <c r="J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</row>
    <row r="43" spans="1:50">
      <c r="A43" s="26" t="s">
        <v>19</v>
      </c>
      <c r="B43" s="26" t="s">
        <v>19</v>
      </c>
      <c r="C43" s="17" t="s">
        <v>424</v>
      </c>
      <c r="D43" s="17" t="s">
        <v>424</v>
      </c>
      <c r="F43" s="27"/>
      <c r="G43" s="27"/>
      <c r="H43" s="27"/>
      <c r="I43" s="27"/>
      <c r="J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</row>
    <row r="44" spans="1:50">
      <c r="A44" s="26" t="s">
        <v>19</v>
      </c>
      <c r="B44" s="26" t="s">
        <v>19</v>
      </c>
      <c r="C44" s="17" t="s">
        <v>439</v>
      </c>
      <c r="D44" s="17" t="s">
        <v>439</v>
      </c>
      <c r="F44" s="27"/>
      <c r="G44" s="27"/>
      <c r="H44" s="27"/>
      <c r="I44" s="27"/>
      <c r="J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</row>
    <row r="45" spans="1:50">
      <c r="A45" s="26" t="s">
        <v>19</v>
      </c>
      <c r="B45" s="26" t="s">
        <v>19</v>
      </c>
      <c r="C45" s="17" t="s">
        <v>437</v>
      </c>
      <c r="D45" s="17" t="s">
        <v>437</v>
      </c>
      <c r="F45" s="27"/>
      <c r="G45" s="27"/>
      <c r="H45" s="27"/>
      <c r="I45" s="27"/>
      <c r="J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</row>
    <row r="46" spans="1:50">
      <c r="A46" s="26" t="s">
        <v>19</v>
      </c>
      <c r="B46" s="26" t="s">
        <v>19</v>
      </c>
      <c r="C46" s="17" t="s">
        <v>360</v>
      </c>
      <c r="D46" s="17" t="s">
        <v>360</v>
      </c>
      <c r="F46" s="27"/>
      <c r="G46" s="27"/>
      <c r="H46" s="27"/>
      <c r="I46" s="27"/>
      <c r="J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</row>
    <row r="47" spans="1:50">
      <c r="A47" s="26" t="s">
        <v>19</v>
      </c>
      <c r="B47" s="26" t="s">
        <v>19</v>
      </c>
      <c r="C47" s="17" t="s">
        <v>359</v>
      </c>
      <c r="D47" s="17" t="s">
        <v>359</v>
      </c>
      <c r="F47" s="27"/>
      <c r="G47" s="27"/>
      <c r="H47" s="27"/>
      <c r="I47" s="27"/>
      <c r="J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</row>
    <row r="48" spans="1:50">
      <c r="A48" s="26" t="s">
        <v>19</v>
      </c>
      <c r="B48" s="26" t="s">
        <v>19</v>
      </c>
      <c r="C48" s="17" t="s">
        <v>361</v>
      </c>
      <c r="D48" s="17" t="s">
        <v>361</v>
      </c>
      <c r="F48" s="27"/>
      <c r="G48" s="27"/>
      <c r="H48" s="27"/>
      <c r="I48" s="27"/>
      <c r="J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</row>
    <row r="49" spans="1:50">
      <c r="A49" s="26" t="s">
        <v>19</v>
      </c>
      <c r="B49" s="26" t="s">
        <v>19</v>
      </c>
      <c r="C49" s="17" t="s">
        <v>362</v>
      </c>
      <c r="D49" s="17" t="s">
        <v>362</v>
      </c>
      <c r="F49" s="27"/>
      <c r="G49" s="27"/>
      <c r="H49" s="27"/>
      <c r="I49" s="27"/>
      <c r="J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</row>
    <row r="50" spans="1:50">
      <c r="A50" s="26" t="s">
        <v>19</v>
      </c>
      <c r="B50" s="26" t="s">
        <v>19</v>
      </c>
      <c r="C50" s="17" t="s">
        <v>363</v>
      </c>
      <c r="D50" s="17" t="s">
        <v>363</v>
      </c>
      <c r="F50" s="27"/>
      <c r="G50" s="27"/>
      <c r="H50" s="27"/>
      <c r="I50" s="27"/>
      <c r="J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</row>
    <row r="51" spans="1:50">
      <c r="A51" s="26" t="s">
        <v>19</v>
      </c>
      <c r="B51" s="26" t="s">
        <v>19</v>
      </c>
      <c r="C51" s="17" t="s">
        <v>357</v>
      </c>
      <c r="D51" s="17" t="s">
        <v>357</v>
      </c>
      <c r="F51" s="27"/>
      <c r="G51" s="27"/>
      <c r="H51" s="27"/>
      <c r="I51" s="27"/>
      <c r="J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</row>
    <row r="52" spans="1:50">
      <c r="A52" s="26" t="s">
        <v>19</v>
      </c>
      <c r="B52" s="26" t="s">
        <v>19</v>
      </c>
      <c r="C52" s="17" t="s">
        <v>356</v>
      </c>
      <c r="D52" s="17" t="s">
        <v>356</v>
      </c>
      <c r="F52" s="27"/>
      <c r="G52" s="27"/>
      <c r="H52" s="27"/>
      <c r="I52" s="27"/>
      <c r="J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</row>
    <row r="53" spans="1:50">
      <c r="A53" s="26" t="s">
        <v>19</v>
      </c>
      <c r="B53" s="26" t="s">
        <v>19</v>
      </c>
      <c r="C53" s="17" t="s">
        <v>358</v>
      </c>
      <c r="D53" s="17" t="s">
        <v>358</v>
      </c>
      <c r="F53" s="27"/>
      <c r="G53" s="27"/>
      <c r="H53" s="27"/>
      <c r="I53" s="27"/>
      <c r="J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</row>
    <row r="54" spans="1:50">
      <c r="A54" s="26" t="s">
        <v>19</v>
      </c>
      <c r="B54" s="26" t="s">
        <v>19</v>
      </c>
      <c r="C54" s="17" t="s">
        <v>442</v>
      </c>
      <c r="D54" s="17" t="s">
        <v>442</v>
      </c>
      <c r="F54" s="27"/>
      <c r="G54" s="27"/>
      <c r="H54" s="27"/>
      <c r="I54" s="27"/>
      <c r="J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</row>
    <row r="55" spans="1:50">
      <c r="A55" s="26" t="s">
        <v>19</v>
      </c>
      <c r="B55" s="26" t="s">
        <v>19</v>
      </c>
      <c r="C55" s="21"/>
      <c r="F55" s="27"/>
      <c r="G55" s="27"/>
      <c r="H55" s="27"/>
      <c r="I55" s="27"/>
      <c r="J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</row>
    <row r="56" spans="1:50">
      <c r="A56" s="26" t="s">
        <v>19</v>
      </c>
      <c r="B56" s="26" t="s">
        <v>19</v>
      </c>
      <c r="C56" s="21"/>
      <c r="F56" s="27"/>
      <c r="G56" s="27"/>
      <c r="H56" s="27"/>
      <c r="I56" s="27"/>
      <c r="J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</row>
    <row r="57" spans="1:50">
      <c r="A57" s="26" t="s">
        <v>19</v>
      </c>
      <c r="B57" s="7" t="s">
        <v>783</v>
      </c>
      <c r="C57" s="11">
        <v>25</v>
      </c>
      <c r="F57" s="27"/>
      <c r="G57" s="27"/>
      <c r="H57" s="27"/>
      <c r="I57" s="27"/>
      <c r="J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</row>
    <row r="58" spans="1:50">
      <c r="A58" s="26" t="s">
        <v>19</v>
      </c>
      <c r="B58" s="7" t="s">
        <v>784</v>
      </c>
      <c r="C58" s="11">
        <v>1</v>
      </c>
      <c r="F58" s="27"/>
      <c r="G58" s="27"/>
      <c r="H58" s="27"/>
      <c r="I58" s="27"/>
      <c r="J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</row>
    <row r="59" spans="1:50">
      <c r="A59" s="26" t="s">
        <v>19</v>
      </c>
      <c r="B59" s="7" t="s">
        <v>785</v>
      </c>
      <c r="C59" s="11">
        <v>1</v>
      </c>
      <c r="F59" s="27"/>
      <c r="G59" s="27"/>
      <c r="H59" s="27"/>
      <c r="I59" s="27"/>
      <c r="J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</row>
    <row r="60" spans="1:50">
      <c r="A60" s="26"/>
      <c r="B60" s="7"/>
      <c r="C60" s="21"/>
      <c r="F60" s="27"/>
      <c r="G60" s="27"/>
      <c r="H60" s="27"/>
      <c r="I60" s="27"/>
      <c r="J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</row>
    <row r="61" spans="1:50">
      <c r="B61" s="7"/>
      <c r="C61" s="21"/>
      <c r="F61" s="27"/>
      <c r="G61" s="27"/>
      <c r="H61" s="27"/>
      <c r="I61" s="27"/>
      <c r="J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</row>
    <row r="62" spans="1:50">
      <c r="B62" s="7"/>
      <c r="C62" s="21"/>
      <c r="F62" s="27"/>
      <c r="G62" s="27"/>
      <c r="H62" s="27"/>
      <c r="I62" s="27"/>
      <c r="J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</row>
    <row r="63" spans="1:50">
      <c r="B63" s="7"/>
      <c r="C63" s="21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</row>
    <row r="64" spans="1:50">
      <c r="B64" s="7"/>
      <c r="C64" s="21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</row>
    <row r="65" spans="1:50">
      <c r="B65" s="7"/>
      <c r="C65" s="21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</row>
    <row r="66" spans="1:50">
      <c r="B66" s="7"/>
      <c r="C66" s="21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</row>
    <row r="67" spans="1:50">
      <c r="B67" s="7"/>
      <c r="C67" s="21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</row>
    <row r="68" spans="1:50">
      <c r="B68" s="7"/>
      <c r="C68" s="21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</row>
    <row r="69" spans="1:50">
      <c r="B69" s="7"/>
      <c r="C69" s="21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</row>
    <row r="70" spans="1:50">
      <c r="B70" s="7"/>
      <c r="C70" s="21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</row>
    <row r="71" spans="1:50"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</row>
    <row r="72" spans="1:50"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</row>
    <row r="73" spans="1:50"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</row>
    <row r="74" spans="1:50"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</row>
    <row r="75" spans="1:50">
      <c r="A75" s="7" t="s">
        <v>441</v>
      </c>
      <c r="F75" s="27" t="s">
        <v>444</v>
      </c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</row>
    <row r="76" spans="1:50">
      <c r="A76" s="7" t="s">
        <v>133</v>
      </c>
      <c r="B76" s="5" t="s">
        <v>5</v>
      </c>
      <c r="C76" s="5" t="s">
        <v>6</v>
      </c>
      <c r="D76" s="5" t="s">
        <v>7</v>
      </c>
      <c r="E76" s="5" t="s">
        <v>8</v>
      </c>
      <c r="F76" s="27" t="s">
        <v>466</v>
      </c>
      <c r="G76" s="27"/>
      <c r="H76" s="27"/>
      <c r="I76" s="27"/>
      <c r="J76" s="27" t="s">
        <v>699</v>
      </c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</row>
    <row r="77" spans="1:50">
      <c r="A77" s="7" t="s">
        <v>206</v>
      </c>
      <c r="B77" s="5" t="s">
        <v>1315</v>
      </c>
      <c r="C77" s="5" t="s">
        <v>1320</v>
      </c>
      <c r="D77" s="5" t="s">
        <v>49</v>
      </c>
      <c r="E77" s="5" t="s">
        <v>50</v>
      </c>
      <c r="F77" s="27" t="s">
        <v>236</v>
      </c>
      <c r="G77" s="27" t="s">
        <v>237</v>
      </c>
      <c r="H77" s="27" t="s">
        <v>238</v>
      </c>
      <c r="I77" s="27" t="s">
        <v>239</v>
      </c>
      <c r="J77" s="27" t="s">
        <v>1142</v>
      </c>
      <c r="K77" s="27"/>
      <c r="L77" s="27"/>
      <c r="M77" s="27"/>
      <c r="N77" s="27"/>
      <c r="O77" s="5" t="s">
        <v>699</v>
      </c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</row>
    <row r="78" spans="1:50">
      <c r="A78" s="7" t="s">
        <v>207</v>
      </c>
      <c r="B78" s="5" t="s">
        <v>1315</v>
      </c>
      <c r="C78" s="5" t="s">
        <v>1320</v>
      </c>
      <c r="D78" s="5" t="s">
        <v>127</v>
      </c>
      <c r="E78" s="5" t="s">
        <v>128</v>
      </c>
      <c r="F78" s="27" t="s">
        <v>236</v>
      </c>
      <c r="G78" s="27" t="s">
        <v>237</v>
      </c>
      <c r="H78" s="27" t="s">
        <v>238</v>
      </c>
      <c r="I78" s="27" t="s">
        <v>239</v>
      </c>
      <c r="J78" s="27" t="s">
        <v>1143</v>
      </c>
      <c r="K78" s="27"/>
      <c r="L78" s="27"/>
      <c r="M78" s="27"/>
      <c r="N78" s="27"/>
      <c r="O78" s="5" t="s">
        <v>699</v>
      </c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</row>
    <row r="79" spans="1:50">
      <c r="F79" s="27"/>
      <c r="G79" s="27"/>
      <c r="H79" s="27"/>
      <c r="I79" s="27"/>
      <c r="J79" s="27"/>
      <c r="K79" s="27"/>
      <c r="L79" s="27"/>
      <c r="M79" s="27"/>
      <c r="N79" s="27"/>
      <c r="O79" s="5" t="s">
        <v>699</v>
      </c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</row>
    <row r="80" spans="1:50">
      <c r="A80" s="7" t="s">
        <v>208</v>
      </c>
      <c r="B80" s="5" t="s">
        <v>1316</v>
      </c>
      <c r="C80" s="5" t="s">
        <v>1321</v>
      </c>
      <c r="D80" s="5" t="s">
        <v>51</v>
      </c>
      <c r="E80" s="5" t="s">
        <v>52</v>
      </c>
      <c r="F80" s="27" t="s">
        <v>239</v>
      </c>
      <c r="G80" s="27" t="s">
        <v>240</v>
      </c>
      <c r="H80" s="27" t="s">
        <v>241</v>
      </c>
      <c r="I80" s="27" t="s">
        <v>1139</v>
      </c>
      <c r="J80" s="27"/>
      <c r="K80" s="27"/>
      <c r="L80" s="27"/>
      <c r="M80" s="27"/>
      <c r="N80" s="27"/>
      <c r="O80" s="5" t="s">
        <v>699</v>
      </c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</row>
    <row r="81" spans="1:50">
      <c r="A81" s="7" t="s">
        <v>209</v>
      </c>
      <c r="B81" s="5" t="s">
        <v>1316</v>
      </c>
      <c r="C81" s="5" t="s">
        <v>1322</v>
      </c>
      <c r="D81" s="5" t="s">
        <v>51</v>
      </c>
      <c r="E81" s="5" t="s">
        <v>53</v>
      </c>
      <c r="F81" s="27" t="s">
        <v>242</v>
      </c>
      <c r="G81" s="27" t="s">
        <v>243</v>
      </c>
      <c r="H81" s="27" t="s">
        <v>1140</v>
      </c>
      <c r="J81" s="27"/>
      <c r="K81" s="27"/>
      <c r="L81" s="27"/>
      <c r="M81" s="27"/>
      <c r="N81" s="27"/>
      <c r="O81" s="5" t="s">
        <v>699</v>
      </c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</row>
    <row r="82" spans="1:50">
      <c r="A82" s="7" t="s">
        <v>210</v>
      </c>
      <c r="B82" s="5" t="s">
        <v>1316</v>
      </c>
      <c r="C82" s="5" t="s">
        <v>1323</v>
      </c>
      <c r="D82" s="5" t="s">
        <v>51</v>
      </c>
      <c r="E82" s="5" t="s">
        <v>54</v>
      </c>
      <c r="F82" s="27" t="s">
        <v>242</v>
      </c>
      <c r="G82" s="27" t="s">
        <v>243</v>
      </c>
      <c r="H82" s="27" t="s">
        <v>244</v>
      </c>
      <c r="I82" s="27" t="s">
        <v>245</v>
      </c>
      <c r="J82" s="27" t="s">
        <v>246</v>
      </c>
      <c r="K82" s="27" t="s">
        <v>1141</v>
      </c>
      <c r="L82" s="27"/>
      <c r="M82" s="27"/>
      <c r="N82" s="27"/>
      <c r="O82" s="5" t="s">
        <v>699</v>
      </c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</row>
    <row r="83" spans="1:50">
      <c r="A83" s="7" t="s">
        <v>211</v>
      </c>
      <c r="B83" s="5" t="s">
        <v>1316</v>
      </c>
      <c r="C83" s="5" t="s">
        <v>1324</v>
      </c>
      <c r="D83" s="5" t="s">
        <v>51</v>
      </c>
      <c r="E83" s="5" t="s">
        <v>55</v>
      </c>
      <c r="F83" s="27" t="s">
        <v>443</v>
      </c>
      <c r="G83" s="27"/>
      <c r="H83" s="27"/>
      <c r="I83" s="27"/>
      <c r="J83" s="27"/>
      <c r="K83" s="27"/>
      <c r="L83" s="27"/>
      <c r="M83" s="27"/>
      <c r="N83" s="27"/>
      <c r="O83" s="5" t="s">
        <v>699</v>
      </c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</row>
    <row r="84" spans="1:50">
      <c r="F84" s="27"/>
      <c r="G84" s="27"/>
      <c r="H84" s="27"/>
      <c r="I84" s="27"/>
      <c r="J84" s="27"/>
      <c r="K84" s="27"/>
      <c r="L84" s="27"/>
      <c r="M84" s="27"/>
      <c r="N84" s="27"/>
      <c r="O84" s="5" t="s">
        <v>699</v>
      </c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</row>
    <row r="85" spans="1:50">
      <c r="A85" s="7" t="s">
        <v>433</v>
      </c>
      <c r="B85" s="5" t="s">
        <v>1317</v>
      </c>
      <c r="C85" s="5" t="s">
        <v>1325</v>
      </c>
      <c r="D85" s="5" t="s">
        <v>24</v>
      </c>
      <c r="E85" s="5" t="s">
        <v>44</v>
      </c>
      <c r="F85" s="27" t="s">
        <v>236</v>
      </c>
      <c r="G85" s="27" t="s">
        <v>247</v>
      </c>
      <c r="H85" s="27" t="s">
        <v>248</v>
      </c>
      <c r="I85" s="27" t="s">
        <v>249</v>
      </c>
      <c r="J85" s="27" t="s">
        <v>239</v>
      </c>
      <c r="K85" s="27" t="s">
        <v>1144</v>
      </c>
      <c r="L85" s="27"/>
      <c r="M85" s="27"/>
      <c r="N85" s="27"/>
      <c r="O85" s="5" t="s">
        <v>699</v>
      </c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</row>
    <row r="86" spans="1:50">
      <c r="A86" s="7" t="s">
        <v>435</v>
      </c>
      <c r="B86" s="5" t="s">
        <v>1317</v>
      </c>
      <c r="C86" s="5" t="s">
        <v>1325</v>
      </c>
      <c r="D86" s="5" t="s">
        <v>46</v>
      </c>
      <c r="E86" s="5" t="s">
        <v>45</v>
      </c>
      <c r="F86" s="27" t="s">
        <v>236</v>
      </c>
      <c r="G86" s="27" t="s">
        <v>247</v>
      </c>
      <c r="H86" s="27" t="s">
        <v>248</v>
      </c>
      <c r="I86" s="27" t="s">
        <v>249</v>
      </c>
      <c r="J86" s="27" t="s">
        <v>1108</v>
      </c>
      <c r="K86" s="27"/>
      <c r="L86" s="27"/>
      <c r="M86" s="27"/>
      <c r="N86" s="27"/>
      <c r="O86" s="5" t="s">
        <v>699</v>
      </c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</row>
    <row r="87" spans="1:50">
      <c r="A87" s="7" t="s">
        <v>439</v>
      </c>
      <c r="B87" s="5" t="s">
        <v>1317</v>
      </c>
      <c r="C87" s="5" t="s">
        <v>1326</v>
      </c>
      <c r="D87" s="5" t="s">
        <v>24</v>
      </c>
      <c r="E87" s="5" t="s">
        <v>45</v>
      </c>
      <c r="F87" s="27" t="s">
        <v>236</v>
      </c>
      <c r="G87" s="27" t="s">
        <v>247</v>
      </c>
      <c r="H87" s="27" t="s">
        <v>248</v>
      </c>
      <c r="I87" s="27" t="s">
        <v>249</v>
      </c>
      <c r="J87" s="27" t="s">
        <v>239</v>
      </c>
      <c r="K87" s="27" t="s">
        <v>1109</v>
      </c>
      <c r="L87" s="27"/>
      <c r="M87" s="27"/>
      <c r="N87" s="27"/>
      <c r="O87" s="5" t="s">
        <v>699</v>
      </c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</row>
    <row r="88" spans="1:50">
      <c r="A88" s="7" t="s">
        <v>437</v>
      </c>
      <c r="B88" s="5" t="s">
        <v>1317</v>
      </c>
      <c r="C88" s="5" t="s">
        <v>1326</v>
      </c>
      <c r="D88" s="5" t="s">
        <v>47</v>
      </c>
      <c r="E88" s="5" t="s">
        <v>48</v>
      </c>
      <c r="F88" s="27" t="s">
        <v>236</v>
      </c>
      <c r="G88" s="27" t="s">
        <v>247</v>
      </c>
      <c r="H88" s="27" t="s">
        <v>248</v>
      </c>
      <c r="I88" s="27" t="s">
        <v>249</v>
      </c>
      <c r="J88" s="27" t="s">
        <v>1110</v>
      </c>
      <c r="K88" s="27"/>
      <c r="L88" s="27"/>
      <c r="M88" s="27"/>
      <c r="N88" s="27"/>
      <c r="O88" s="5" t="s">
        <v>699</v>
      </c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</row>
    <row r="89" spans="1:50">
      <c r="F89" s="27"/>
      <c r="G89" s="27"/>
      <c r="H89" s="27"/>
      <c r="I89" s="27"/>
      <c r="J89" s="27"/>
      <c r="K89" s="27"/>
      <c r="L89" s="27"/>
      <c r="M89" s="27"/>
      <c r="N89" s="27"/>
      <c r="O89" s="5" t="s">
        <v>699</v>
      </c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</row>
    <row r="90" spans="1:50">
      <c r="A90" s="7" t="s">
        <v>214</v>
      </c>
      <c r="B90" s="5" t="s">
        <v>1318</v>
      </c>
      <c r="C90" s="5" t="s">
        <v>1327</v>
      </c>
      <c r="D90" s="5" t="s">
        <v>51</v>
      </c>
      <c r="E90" s="5" t="s">
        <v>56</v>
      </c>
      <c r="F90" s="27" t="s">
        <v>250</v>
      </c>
      <c r="G90" s="27" t="s">
        <v>242</v>
      </c>
      <c r="H90" s="27" t="s">
        <v>243</v>
      </c>
      <c r="I90" s="27" t="s">
        <v>1106</v>
      </c>
      <c r="J90" s="27"/>
      <c r="K90" s="27"/>
      <c r="L90" s="27"/>
      <c r="M90" s="27"/>
      <c r="N90" s="27"/>
      <c r="O90" s="5" t="s">
        <v>699</v>
      </c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</row>
    <row r="91" spans="1:50">
      <c r="A91" s="7" t="s">
        <v>215</v>
      </c>
      <c r="B91" s="5" t="s">
        <v>1318</v>
      </c>
      <c r="C91" s="5" t="s">
        <v>1328</v>
      </c>
      <c r="D91" s="5" t="s">
        <v>51</v>
      </c>
      <c r="E91" s="5" t="s">
        <v>56</v>
      </c>
      <c r="F91" s="27" t="s">
        <v>250</v>
      </c>
      <c r="G91" s="27" t="s">
        <v>242</v>
      </c>
      <c r="H91" s="27" t="s">
        <v>243</v>
      </c>
      <c r="I91" s="27" t="s">
        <v>1106</v>
      </c>
      <c r="J91" s="27"/>
      <c r="K91" s="27"/>
      <c r="L91" s="27"/>
      <c r="M91" s="27"/>
      <c r="N91" s="27"/>
      <c r="O91" s="5" t="s">
        <v>699</v>
      </c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</row>
    <row r="92" spans="1:50">
      <c r="A92" s="7" t="s">
        <v>216</v>
      </c>
      <c r="B92" s="5" t="s">
        <v>1318</v>
      </c>
      <c r="C92" s="5" t="s">
        <v>1329</v>
      </c>
      <c r="D92" s="5" t="s">
        <v>51</v>
      </c>
      <c r="E92" s="5" t="s">
        <v>57</v>
      </c>
      <c r="F92" s="27" t="s">
        <v>250</v>
      </c>
      <c r="G92" s="27" t="s">
        <v>242</v>
      </c>
      <c r="H92" s="27" t="s">
        <v>243</v>
      </c>
      <c r="I92" s="27" t="s">
        <v>1106</v>
      </c>
      <c r="J92" s="27"/>
      <c r="K92" s="27"/>
      <c r="L92" s="27"/>
      <c r="M92" s="27"/>
      <c r="N92" s="27"/>
      <c r="O92" s="5" t="s">
        <v>699</v>
      </c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</row>
    <row r="93" spans="1:50">
      <c r="A93" s="7" t="s">
        <v>217</v>
      </c>
      <c r="B93" s="5" t="s">
        <v>1318</v>
      </c>
      <c r="C93" s="5" t="s">
        <v>491</v>
      </c>
      <c r="D93" s="5" t="s">
        <v>51</v>
      </c>
      <c r="E93" s="5" t="s">
        <v>55</v>
      </c>
      <c r="F93" s="27" t="s">
        <v>250</v>
      </c>
      <c r="G93" s="27" t="s">
        <v>242</v>
      </c>
      <c r="H93" s="27" t="s">
        <v>243</v>
      </c>
      <c r="I93" s="27" t="s">
        <v>251</v>
      </c>
      <c r="J93" s="27" t="s">
        <v>252</v>
      </c>
      <c r="K93" s="27" t="s">
        <v>246</v>
      </c>
      <c r="L93" s="27" t="s">
        <v>1107</v>
      </c>
      <c r="M93" s="27"/>
      <c r="N93" s="27"/>
      <c r="O93" s="5" t="s">
        <v>699</v>
      </c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</row>
    <row r="94" spans="1:50">
      <c r="A94" s="7" t="s">
        <v>218</v>
      </c>
      <c r="B94" s="5" t="s">
        <v>1318</v>
      </c>
      <c r="C94" s="5" t="s">
        <v>493</v>
      </c>
      <c r="D94" s="5" t="s">
        <v>51</v>
      </c>
      <c r="E94" s="5" t="s">
        <v>58</v>
      </c>
      <c r="F94" s="27" t="s">
        <v>250</v>
      </c>
      <c r="G94" s="27" t="s">
        <v>242</v>
      </c>
      <c r="H94" s="27" t="s">
        <v>243</v>
      </c>
      <c r="I94" s="27" t="s">
        <v>251</v>
      </c>
      <c r="J94" s="27" t="s">
        <v>252</v>
      </c>
      <c r="K94" s="27" t="s">
        <v>246</v>
      </c>
      <c r="L94" s="27" t="s">
        <v>1107</v>
      </c>
      <c r="M94" s="27"/>
      <c r="N94" s="27"/>
      <c r="O94" s="5" t="s">
        <v>699</v>
      </c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</row>
    <row r="95" spans="1:50">
      <c r="F95" s="27"/>
      <c r="G95" s="27"/>
      <c r="H95" s="27"/>
      <c r="I95" s="27"/>
      <c r="J95" s="27"/>
      <c r="K95" s="27"/>
      <c r="L95" s="27"/>
      <c r="M95" s="27"/>
      <c r="N95" s="27"/>
      <c r="O95" s="5" t="s">
        <v>699</v>
      </c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</row>
    <row r="96" spans="1:50">
      <c r="A96" s="7" t="s">
        <v>222</v>
      </c>
      <c r="B96" s="5" t="s">
        <v>1319</v>
      </c>
      <c r="C96" s="5" t="s">
        <v>1330</v>
      </c>
      <c r="D96" s="5" t="s">
        <v>25</v>
      </c>
      <c r="E96" s="5" t="s">
        <v>59</v>
      </c>
      <c r="F96" s="27" t="s">
        <v>253</v>
      </c>
      <c r="G96" s="27" t="s">
        <v>254</v>
      </c>
      <c r="H96" s="27" t="s">
        <v>255</v>
      </c>
      <c r="I96" s="27" t="s">
        <v>1111</v>
      </c>
      <c r="J96" s="27"/>
      <c r="K96" s="27"/>
      <c r="L96" s="27"/>
      <c r="M96" s="27"/>
      <c r="N96" s="27"/>
      <c r="O96" s="5" t="s">
        <v>699</v>
      </c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</row>
    <row r="97" spans="1:50">
      <c r="F97" s="27"/>
      <c r="G97" s="27"/>
      <c r="H97" s="27"/>
      <c r="I97" s="27"/>
      <c r="J97" s="27"/>
      <c r="K97" s="27"/>
      <c r="L97" s="27"/>
      <c r="M97" s="27"/>
      <c r="N97" s="27"/>
      <c r="O97" s="5" t="s">
        <v>699</v>
      </c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</row>
    <row r="98" spans="1:50">
      <c r="A98" s="7" t="s">
        <v>428</v>
      </c>
      <c r="B98" s="5" t="s">
        <v>1314</v>
      </c>
      <c r="C98" s="5" t="s">
        <v>1331</v>
      </c>
      <c r="D98" s="5" t="s">
        <v>21</v>
      </c>
      <c r="E98" s="5" t="s">
        <v>140</v>
      </c>
      <c r="F98" s="27" t="s">
        <v>256</v>
      </c>
      <c r="G98" s="27" t="s">
        <v>257</v>
      </c>
      <c r="H98" s="27" t="s">
        <v>258</v>
      </c>
      <c r="I98" s="27" t="s">
        <v>259</v>
      </c>
      <c r="J98" s="27" t="s">
        <v>260</v>
      </c>
      <c r="K98" s="27" t="s">
        <v>261</v>
      </c>
      <c r="L98" s="27" t="s">
        <v>262</v>
      </c>
      <c r="M98" s="27" t="s">
        <v>246</v>
      </c>
      <c r="N98" s="27" t="s">
        <v>263</v>
      </c>
      <c r="O98" s="27" t="s">
        <v>264</v>
      </c>
      <c r="P98" s="27" t="s">
        <v>265</v>
      </c>
      <c r="Q98" s="27" t="s">
        <v>266</v>
      </c>
      <c r="R98" s="27" t="s">
        <v>267</v>
      </c>
      <c r="S98" s="27" t="s">
        <v>268</v>
      </c>
      <c r="T98" s="27" t="s">
        <v>269</v>
      </c>
      <c r="U98" s="27" t="s">
        <v>495</v>
      </c>
      <c r="V98" s="27" t="s">
        <v>270</v>
      </c>
      <c r="W98" s="27" t="s">
        <v>271</v>
      </c>
      <c r="X98" s="27" t="s">
        <v>272</v>
      </c>
      <c r="Y98" s="27" t="s">
        <v>273</v>
      </c>
      <c r="Z98" s="27" t="s">
        <v>274</v>
      </c>
      <c r="AA98" s="27" t="s">
        <v>275</v>
      </c>
      <c r="AB98" s="27" t="s">
        <v>276</v>
      </c>
      <c r="AC98" s="27" t="s">
        <v>277</v>
      </c>
      <c r="AD98" s="27" t="s">
        <v>278</v>
      </c>
      <c r="AE98" s="27" t="s">
        <v>279</v>
      </c>
      <c r="AF98" s="27" t="s">
        <v>280</v>
      </c>
      <c r="AG98" s="27" t="s">
        <v>281</v>
      </c>
      <c r="AH98" s="27" t="s">
        <v>282</v>
      </c>
      <c r="AI98" s="27" t="s">
        <v>283</v>
      </c>
      <c r="AJ98" s="27" t="s">
        <v>284</v>
      </c>
      <c r="AK98" s="27" t="s">
        <v>285</v>
      </c>
      <c r="AL98" s="27" t="s">
        <v>286</v>
      </c>
      <c r="AM98" s="27" t="s">
        <v>287</v>
      </c>
      <c r="AN98" s="27" t="s">
        <v>288</v>
      </c>
      <c r="AO98" s="27" t="s">
        <v>289</v>
      </c>
      <c r="AP98" s="27" t="s">
        <v>290</v>
      </c>
      <c r="AQ98" s="27" t="s">
        <v>291</v>
      </c>
      <c r="AR98" s="27" t="s">
        <v>292</v>
      </c>
      <c r="AS98" s="27" t="s">
        <v>293</v>
      </c>
      <c r="AT98" s="27" t="s">
        <v>294</v>
      </c>
      <c r="AU98" s="27" t="s">
        <v>295</v>
      </c>
      <c r="AV98" s="27" t="s">
        <v>296</v>
      </c>
      <c r="AW98" s="21"/>
      <c r="AX98" s="21"/>
    </row>
    <row r="99" spans="1:50">
      <c r="A99" s="7" t="s">
        <v>429</v>
      </c>
      <c r="B99" s="5" t="s">
        <v>1314</v>
      </c>
      <c r="C99" s="5" t="s">
        <v>1331</v>
      </c>
      <c r="D99" s="5" t="s">
        <v>22</v>
      </c>
      <c r="E99" s="5" t="s">
        <v>141</v>
      </c>
      <c r="F99" s="27" t="s">
        <v>256</v>
      </c>
      <c r="G99" s="27" t="s">
        <v>257</v>
      </c>
      <c r="H99" s="27" t="s">
        <v>258</v>
      </c>
      <c r="I99" s="27" t="s">
        <v>259</v>
      </c>
      <c r="J99" s="27" t="s">
        <v>260</v>
      </c>
      <c r="K99" s="27" t="s">
        <v>261</v>
      </c>
      <c r="L99" s="27" t="s">
        <v>262</v>
      </c>
      <c r="M99" s="27" t="s">
        <v>246</v>
      </c>
      <c r="N99" s="27" t="s">
        <v>263</v>
      </c>
      <c r="O99" s="27" t="s">
        <v>264</v>
      </c>
      <c r="P99" s="27" t="s">
        <v>265</v>
      </c>
      <c r="Q99" s="27" t="s">
        <v>266</v>
      </c>
      <c r="R99" s="27" t="s">
        <v>267</v>
      </c>
      <c r="S99" s="27" t="s">
        <v>268</v>
      </c>
      <c r="T99" s="27" t="s">
        <v>269</v>
      </c>
      <c r="U99" s="27" t="s">
        <v>495</v>
      </c>
      <c r="V99" s="27" t="s">
        <v>270</v>
      </c>
      <c r="W99" s="27" t="s">
        <v>271</v>
      </c>
      <c r="X99" s="27" t="s">
        <v>272</v>
      </c>
      <c r="Y99" s="27" t="s">
        <v>273</v>
      </c>
      <c r="Z99" s="27" t="s">
        <v>274</v>
      </c>
      <c r="AA99" s="27" t="s">
        <v>275</v>
      </c>
      <c r="AB99" s="27" t="s">
        <v>276</v>
      </c>
      <c r="AC99" s="27" t="s">
        <v>277</v>
      </c>
      <c r="AD99" s="27" t="s">
        <v>278</v>
      </c>
      <c r="AE99" s="27" t="s">
        <v>279</v>
      </c>
      <c r="AF99" s="27" t="s">
        <v>280</v>
      </c>
      <c r="AG99" s="27" t="s">
        <v>281</v>
      </c>
      <c r="AH99" s="27" t="s">
        <v>282</v>
      </c>
      <c r="AI99" s="27" t="s">
        <v>283</v>
      </c>
      <c r="AJ99" s="27" t="s">
        <v>284</v>
      </c>
      <c r="AK99" s="27" t="s">
        <v>285</v>
      </c>
      <c r="AL99" s="27" t="s">
        <v>286</v>
      </c>
      <c r="AM99" s="27" t="s">
        <v>287</v>
      </c>
      <c r="AN99" s="27" t="s">
        <v>288</v>
      </c>
      <c r="AO99" s="27" t="s">
        <v>289</v>
      </c>
      <c r="AP99" s="27" t="s">
        <v>290</v>
      </c>
      <c r="AQ99" s="27" t="s">
        <v>291</v>
      </c>
      <c r="AR99" s="27" t="s">
        <v>292</v>
      </c>
      <c r="AS99" s="27" t="s">
        <v>293</v>
      </c>
      <c r="AT99" s="27" t="s">
        <v>294</v>
      </c>
      <c r="AU99" s="27" t="s">
        <v>295</v>
      </c>
      <c r="AV99" s="27" t="s">
        <v>296</v>
      </c>
      <c r="AW99" s="21"/>
      <c r="AX99" s="21"/>
    </row>
    <row r="100" spans="1:50">
      <c r="A100" s="7" t="s">
        <v>431</v>
      </c>
      <c r="B100" s="5" t="s">
        <v>1314</v>
      </c>
      <c r="C100" s="5" t="s">
        <v>1332</v>
      </c>
      <c r="D100" s="5" t="s">
        <v>21</v>
      </c>
      <c r="E100" s="5" t="s">
        <v>142</v>
      </c>
      <c r="F100" s="27" t="s">
        <v>256</v>
      </c>
      <c r="G100" s="27" t="s">
        <v>257</v>
      </c>
      <c r="H100" s="27" t="s">
        <v>258</v>
      </c>
      <c r="I100" s="27" t="s">
        <v>259</v>
      </c>
      <c r="J100" s="27" t="s">
        <v>260</v>
      </c>
      <c r="K100" s="27" t="s">
        <v>261</v>
      </c>
      <c r="L100" s="27" t="s">
        <v>262</v>
      </c>
      <c r="M100" s="27" t="s">
        <v>246</v>
      </c>
      <c r="N100" s="27" t="s">
        <v>263</v>
      </c>
      <c r="O100" s="27" t="s">
        <v>264</v>
      </c>
      <c r="P100" s="27" t="s">
        <v>265</v>
      </c>
      <c r="Q100" s="27" t="s">
        <v>266</v>
      </c>
      <c r="R100" s="27" t="s">
        <v>267</v>
      </c>
      <c r="S100" s="27" t="s">
        <v>268</v>
      </c>
      <c r="T100" s="27" t="s">
        <v>269</v>
      </c>
      <c r="U100" s="27" t="s">
        <v>495</v>
      </c>
      <c r="V100" s="27" t="s">
        <v>270</v>
      </c>
      <c r="W100" s="27" t="s">
        <v>271</v>
      </c>
      <c r="X100" s="27" t="s">
        <v>272</v>
      </c>
      <c r="Y100" s="27" t="s">
        <v>273</v>
      </c>
      <c r="Z100" s="27" t="s">
        <v>274</v>
      </c>
      <c r="AA100" s="27" t="s">
        <v>275</v>
      </c>
      <c r="AB100" s="27" t="s">
        <v>276</v>
      </c>
      <c r="AC100" s="27" t="s">
        <v>277</v>
      </c>
      <c r="AD100" s="27" t="s">
        <v>278</v>
      </c>
      <c r="AE100" s="27" t="s">
        <v>279</v>
      </c>
      <c r="AF100" s="27" t="s">
        <v>280</v>
      </c>
      <c r="AG100" s="27" t="s">
        <v>281</v>
      </c>
      <c r="AH100" s="27" t="s">
        <v>282</v>
      </c>
      <c r="AI100" s="27" t="s">
        <v>283</v>
      </c>
      <c r="AJ100" s="27" t="s">
        <v>284</v>
      </c>
      <c r="AK100" s="27" t="s">
        <v>285</v>
      </c>
      <c r="AL100" s="27" t="s">
        <v>286</v>
      </c>
      <c r="AM100" s="27" t="s">
        <v>287</v>
      </c>
      <c r="AN100" s="27" t="s">
        <v>288</v>
      </c>
      <c r="AO100" s="27" t="s">
        <v>289</v>
      </c>
      <c r="AP100" s="27" t="s">
        <v>290</v>
      </c>
      <c r="AQ100" s="27" t="s">
        <v>291</v>
      </c>
      <c r="AR100" s="27" t="s">
        <v>292</v>
      </c>
      <c r="AS100" s="27" t="s">
        <v>293</v>
      </c>
      <c r="AT100" s="27" t="s">
        <v>294</v>
      </c>
      <c r="AU100" s="27" t="s">
        <v>295</v>
      </c>
      <c r="AV100" s="27" t="s">
        <v>296</v>
      </c>
      <c r="AW100" s="21"/>
      <c r="AX100" s="21"/>
    </row>
    <row r="101" spans="1:50">
      <c r="A101" s="7" t="s">
        <v>432</v>
      </c>
      <c r="B101" s="5" t="s">
        <v>1314</v>
      </c>
      <c r="C101" s="5" t="s">
        <v>1332</v>
      </c>
      <c r="D101" s="5" t="s">
        <v>23</v>
      </c>
      <c r="E101" s="5" t="s">
        <v>143</v>
      </c>
      <c r="F101" s="27" t="s">
        <v>256</v>
      </c>
      <c r="G101" s="27" t="s">
        <v>257</v>
      </c>
      <c r="H101" s="27" t="s">
        <v>258</v>
      </c>
      <c r="I101" s="27" t="s">
        <v>259</v>
      </c>
      <c r="J101" s="27" t="s">
        <v>260</v>
      </c>
      <c r="K101" s="27" t="s">
        <v>261</v>
      </c>
      <c r="L101" s="27" t="s">
        <v>262</v>
      </c>
      <c r="M101" s="27" t="s">
        <v>246</v>
      </c>
      <c r="N101" s="27" t="s">
        <v>263</v>
      </c>
      <c r="O101" s="27" t="s">
        <v>264</v>
      </c>
      <c r="P101" s="27" t="s">
        <v>265</v>
      </c>
      <c r="Q101" s="27" t="s">
        <v>266</v>
      </c>
      <c r="R101" s="27" t="s">
        <v>267</v>
      </c>
      <c r="S101" s="27" t="s">
        <v>268</v>
      </c>
      <c r="T101" s="27" t="s">
        <v>269</v>
      </c>
      <c r="U101" s="27" t="s">
        <v>495</v>
      </c>
      <c r="V101" s="27" t="s">
        <v>270</v>
      </c>
      <c r="W101" s="27" t="s">
        <v>271</v>
      </c>
      <c r="X101" s="27" t="s">
        <v>272</v>
      </c>
      <c r="Y101" s="27" t="s">
        <v>273</v>
      </c>
      <c r="Z101" s="27" t="s">
        <v>274</v>
      </c>
      <c r="AA101" s="27" t="s">
        <v>275</v>
      </c>
      <c r="AB101" s="27" t="s">
        <v>276</v>
      </c>
      <c r="AC101" s="27" t="s">
        <v>277</v>
      </c>
      <c r="AD101" s="27" t="s">
        <v>278</v>
      </c>
      <c r="AE101" s="27" t="s">
        <v>279</v>
      </c>
      <c r="AF101" s="27" t="s">
        <v>280</v>
      </c>
      <c r="AG101" s="27" t="s">
        <v>281</v>
      </c>
      <c r="AH101" s="27" t="s">
        <v>282</v>
      </c>
      <c r="AI101" s="27" t="s">
        <v>283</v>
      </c>
      <c r="AJ101" s="27" t="s">
        <v>284</v>
      </c>
      <c r="AK101" s="27" t="s">
        <v>285</v>
      </c>
      <c r="AL101" s="27" t="s">
        <v>286</v>
      </c>
      <c r="AM101" s="27" t="s">
        <v>287</v>
      </c>
      <c r="AN101" s="27" t="s">
        <v>288</v>
      </c>
      <c r="AO101" s="27" t="s">
        <v>289</v>
      </c>
      <c r="AP101" s="27" t="s">
        <v>290</v>
      </c>
      <c r="AQ101" s="27" t="s">
        <v>291</v>
      </c>
      <c r="AR101" s="27" t="s">
        <v>292</v>
      </c>
      <c r="AS101" s="27" t="s">
        <v>293</v>
      </c>
      <c r="AT101" s="27" t="s">
        <v>294</v>
      </c>
      <c r="AU101" s="27" t="s">
        <v>295</v>
      </c>
      <c r="AV101" s="27" t="s">
        <v>296</v>
      </c>
      <c r="AW101" s="27"/>
      <c r="AX101" s="27"/>
    </row>
    <row r="102" spans="1:50">
      <c r="A102" s="7" t="s">
        <v>364</v>
      </c>
      <c r="B102" s="5" t="s">
        <v>1314</v>
      </c>
      <c r="C102" s="5" t="s">
        <v>1333</v>
      </c>
      <c r="D102" s="5" t="s">
        <v>11</v>
      </c>
      <c r="E102" s="5" t="s">
        <v>67</v>
      </c>
      <c r="F102" s="27" t="s">
        <v>236</v>
      </c>
      <c r="G102" s="27" t="s">
        <v>297</v>
      </c>
      <c r="H102" s="27" t="s">
        <v>298</v>
      </c>
      <c r="I102" s="27" t="s">
        <v>1134</v>
      </c>
      <c r="J102" s="27"/>
      <c r="K102" s="27"/>
      <c r="L102" s="27"/>
      <c r="M102" s="27"/>
      <c r="N102" s="27"/>
      <c r="O102" s="5" t="s">
        <v>699</v>
      </c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</row>
    <row r="103" spans="1:50">
      <c r="A103" s="7" t="s">
        <v>367</v>
      </c>
      <c r="B103" s="5" t="s">
        <v>1314</v>
      </c>
      <c r="C103" s="5" t="s">
        <v>1333</v>
      </c>
      <c r="D103" s="5" t="s">
        <v>12</v>
      </c>
      <c r="E103" s="5" t="s">
        <v>68</v>
      </c>
      <c r="F103" s="27" t="s">
        <v>236</v>
      </c>
      <c r="G103" s="27" t="s">
        <v>297</v>
      </c>
      <c r="H103" s="27" t="s">
        <v>298</v>
      </c>
      <c r="I103" s="27" t="s">
        <v>1134</v>
      </c>
      <c r="J103" s="27"/>
      <c r="K103" s="27"/>
      <c r="L103" s="27"/>
      <c r="M103" s="27"/>
      <c r="N103" s="27"/>
      <c r="O103" s="5" t="s">
        <v>699</v>
      </c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</row>
    <row r="104" spans="1:50">
      <c r="A104" s="7" t="s">
        <v>368</v>
      </c>
      <c r="B104" s="5" t="s">
        <v>1314</v>
      </c>
      <c r="C104" s="5" t="s">
        <v>1334</v>
      </c>
      <c r="D104" s="5" t="s">
        <v>11</v>
      </c>
      <c r="E104" s="5" t="s">
        <v>67</v>
      </c>
      <c r="F104" s="27" t="s">
        <v>236</v>
      </c>
      <c r="G104" s="27" t="s">
        <v>297</v>
      </c>
      <c r="H104" s="27" t="s">
        <v>298</v>
      </c>
      <c r="I104" s="27" t="s">
        <v>1134</v>
      </c>
      <c r="J104" s="27"/>
      <c r="K104" s="27"/>
      <c r="L104" s="27"/>
      <c r="M104" s="27"/>
      <c r="N104" s="27"/>
      <c r="O104" s="5" t="s">
        <v>699</v>
      </c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</row>
    <row r="105" spans="1:50">
      <c r="A105" s="7" t="s">
        <v>369</v>
      </c>
      <c r="B105" s="5" t="s">
        <v>1314</v>
      </c>
      <c r="C105" s="5" t="s">
        <v>1334</v>
      </c>
      <c r="D105" s="5" t="s">
        <v>12</v>
      </c>
      <c r="E105" s="5" t="s">
        <v>68</v>
      </c>
      <c r="F105" s="27" t="s">
        <v>236</v>
      </c>
      <c r="G105" s="27" t="s">
        <v>297</v>
      </c>
      <c r="H105" s="27" t="s">
        <v>298</v>
      </c>
      <c r="I105" s="27" t="s">
        <v>1134</v>
      </c>
      <c r="J105" s="27"/>
      <c r="K105" s="27"/>
      <c r="L105" s="27"/>
      <c r="M105" s="27"/>
      <c r="N105" s="27"/>
      <c r="O105" s="5" t="s">
        <v>699</v>
      </c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</row>
    <row r="106" spans="1:50">
      <c r="A106" s="7" t="s">
        <v>370</v>
      </c>
      <c r="B106" s="5" t="s">
        <v>1314</v>
      </c>
      <c r="C106" s="5" t="s">
        <v>1334</v>
      </c>
      <c r="D106" s="5" t="s">
        <v>71</v>
      </c>
      <c r="E106" s="5" t="s">
        <v>69</v>
      </c>
      <c r="F106" s="27" t="s">
        <v>236</v>
      </c>
      <c r="G106" s="27" t="s">
        <v>297</v>
      </c>
      <c r="H106" s="27" t="s">
        <v>298</v>
      </c>
      <c r="I106" s="27" t="s">
        <v>1134</v>
      </c>
      <c r="J106" s="27"/>
      <c r="K106" s="27"/>
      <c r="L106" s="27"/>
      <c r="M106" s="27"/>
      <c r="N106" s="27"/>
      <c r="O106" s="5" t="s">
        <v>699</v>
      </c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</row>
    <row r="107" spans="1:50">
      <c r="A107" s="7" t="s">
        <v>371</v>
      </c>
      <c r="B107" s="5" t="s">
        <v>1314</v>
      </c>
      <c r="C107" s="5" t="s">
        <v>1334</v>
      </c>
      <c r="D107" s="5" t="s">
        <v>10</v>
      </c>
      <c r="E107" s="5" t="s">
        <v>70</v>
      </c>
      <c r="F107" s="27" t="s">
        <v>236</v>
      </c>
      <c r="G107" s="27" t="s">
        <v>297</v>
      </c>
      <c r="H107" s="27" t="s">
        <v>298</v>
      </c>
      <c r="I107" s="27" t="s">
        <v>1134</v>
      </c>
      <c r="J107" s="27"/>
      <c r="K107" s="27"/>
      <c r="L107" s="27"/>
      <c r="M107" s="27"/>
      <c r="N107" s="27"/>
      <c r="O107" s="5" t="s">
        <v>699</v>
      </c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</row>
    <row r="108" spans="1:50">
      <c r="A108" s="7" t="s">
        <v>373</v>
      </c>
      <c r="B108" s="5" t="s">
        <v>1314</v>
      </c>
      <c r="C108" s="5" t="s">
        <v>1335</v>
      </c>
      <c r="D108" s="5" t="s">
        <v>11</v>
      </c>
      <c r="E108" s="5" t="s">
        <v>67</v>
      </c>
      <c r="F108" s="27" t="s">
        <v>236</v>
      </c>
      <c r="G108" s="27" t="s">
        <v>297</v>
      </c>
      <c r="H108" s="27" t="s">
        <v>298</v>
      </c>
      <c r="I108" s="27" t="s">
        <v>1133</v>
      </c>
      <c r="J108" s="27"/>
      <c r="K108" s="27"/>
      <c r="L108" s="27"/>
      <c r="M108" s="27"/>
      <c r="N108" s="27"/>
      <c r="O108" s="5" t="s">
        <v>699</v>
      </c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</row>
    <row r="109" spans="1:50">
      <c r="A109" s="7" t="s">
        <v>374</v>
      </c>
      <c r="B109" s="5" t="s">
        <v>1314</v>
      </c>
      <c r="C109" s="5" t="s">
        <v>1335</v>
      </c>
      <c r="D109" s="5" t="s">
        <v>12</v>
      </c>
      <c r="E109" s="5" t="s">
        <v>68</v>
      </c>
      <c r="F109" s="27" t="s">
        <v>236</v>
      </c>
      <c r="G109" s="27" t="s">
        <v>297</v>
      </c>
      <c r="H109" s="27" t="s">
        <v>298</v>
      </c>
      <c r="I109" s="27" t="s">
        <v>1133</v>
      </c>
      <c r="J109" s="27"/>
      <c r="K109" s="27"/>
      <c r="L109" s="27"/>
      <c r="M109" s="27"/>
      <c r="N109" s="27"/>
      <c r="O109" s="5" t="s">
        <v>699</v>
      </c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</row>
    <row r="110" spans="1:50">
      <c r="A110" s="7" t="s">
        <v>375</v>
      </c>
      <c r="B110" s="5" t="s">
        <v>1314</v>
      </c>
      <c r="C110" s="5" t="s">
        <v>1335</v>
      </c>
      <c r="D110" s="5" t="s">
        <v>71</v>
      </c>
      <c r="E110" s="5" t="s">
        <v>69</v>
      </c>
      <c r="F110" s="27" t="s">
        <v>236</v>
      </c>
      <c r="G110" s="27" t="s">
        <v>297</v>
      </c>
      <c r="H110" s="27" t="s">
        <v>298</v>
      </c>
      <c r="I110" s="27" t="s">
        <v>1133</v>
      </c>
      <c r="J110" s="27"/>
      <c r="K110" s="27"/>
      <c r="L110" s="27"/>
      <c r="M110" s="27"/>
      <c r="N110" s="27"/>
      <c r="O110" s="5" t="s">
        <v>699</v>
      </c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</row>
    <row r="111" spans="1:50">
      <c r="A111" s="7" t="s">
        <v>376</v>
      </c>
      <c r="B111" s="5" t="s">
        <v>1314</v>
      </c>
      <c r="C111" s="5" t="s">
        <v>1336</v>
      </c>
      <c r="D111" s="5" t="s">
        <v>11</v>
      </c>
      <c r="E111" s="5" t="s">
        <v>67</v>
      </c>
      <c r="F111" s="27" t="s">
        <v>236</v>
      </c>
      <c r="G111" s="27" t="s">
        <v>297</v>
      </c>
      <c r="H111" s="27" t="s">
        <v>298</v>
      </c>
      <c r="I111" s="27" t="s">
        <v>1133</v>
      </c>
      <c r="J111" s="27"/>
      <c r="K111" s="27"/>
      <c r="L111" s="27"/>
      <c r="M111" s="27"/>
      <c r="N111" s="27"/>
      <c r="O111" s="5" t="s">
        <v>699</v>
      </c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</row>
    <row r="112" spans="1:50">
      <c r="A112" s="7" t="s">
        <v>377</v>
      </c>
      <c r="B112" s="5" t="s">
        <v>1314</v>
      </c>
      <c r="C112" s="5" t="s">
        <v>1336</v>
      </c>
      <c r="D112" s="5" t="s">
        <v>12</v>
      </c>
      <c r="E112" s="5" t="s">
        <v>68</v>
      </c>
      <c r="F112" s="27" t="s">
        <v>236</v>
      </c>
      <c r="G112" s="27" t="s">
        <v>297</v>
      </c>
      <c r="H112" s="27" t="s">
        <v>298</v>
      </c>
      <c r="I112" s="27" t="s">
        <v>1133</v>
      </c>
      <c r="J112" s="27"/>
      <c r="K112" s="27"/>
      <c r="L112" s="27"/>
      <c r="M112" s="27"/>
      <c r="N112" s="27"/>
      <c r="O112" s="5" t="s">
        <v>699</v>
      </c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</row>
    <row r="113" spans="1:50">
      <c r="A113" s="7" t="s">
        <v>378</v>
      </c>
      <c r="B113" s="5" t="s">
        <v>1314</v>
      </c>
      <c r="C113" s="5" t="s">
        <v>1336</v>
      </c>
      <c r="D113" s="5" t="s">
        <v>71</v>
      </c>
      <c r="E113" s="5" t="s">
        <v>69</v>
      </c>
      <c r="F113" s="27" t="s">
        <v>236</v>
      </c>
      <c r="G113" s="27" t="s">
        <v>297</v>
      </c>
      <c r="H113" s="27" t="s">
        <v>298</v>
      </c>
      <c r="I113" s="27" t="s">
        <v>1133</v>
      </c>
      <c r="J113" s="27"/>
      <c r="K113" s="27"/>
      <c r="L113" s="27"/>
      <c r="M113" s="27"/>
      <c r="N113" s="27"/>
      <c r="O113" s="5" t="s">
        <v>699</v>
      </c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</row>
    <row r="114" spans="1:50">
      <c r="F114" s="27"/>
      <c r="G114" s="27"/>
      <c r="H114" s="27"/>
      <c r="I114" s="27"/>
      <c r="J114" s="27"/>
      <c r="K114" s="27"/>
      <c r="L114" s="27"/>
      <c r="M114" s="27"/>
      <c r="N114" s="27"/>
      <c r="O114" s="5" t="s">
        <v>699</v>
      </c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</row>
    <row r="115" spans="1:50">
      <c r="A115" s="7" t="s">
        <v>381</v>
      </c>
      <c r="B115" s="5" t="s">
        <v>1314</v>
      </c>
      <c r="C115" s="5" t="s">
        <v>1337</v>
      </c>
      <c r="D115" s="5" t="s">
        <v>11</v>
      </c>
      <c r="E115" s="5" t="s">
        <v>103</v>
      </c>
      <c r="F115" s="27" t="s">
        <v>236</v>
      </c>
      <c r="G115" s="27" t="s">
        <v>297</v>
      </c>
      <c r="H115" s="27" t="s">
        <v>298</v>
      </c>
      <c r="I115" s="27" t="s">
        <v>1135</v>
      </c>
      <c r="J115" s="27"/>
      <c r="K115" s="27"/>
      <c r="L115" s="27"/>
      <c r="M115" s="27"/>
      <c r="N115" s="27"/>
      <c r="O115" s="5" t="s">
        <v>699</v>
      </c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</row>
    <row r="116" spans="1:50">
      <c r="A116" s="7" t="s">
        <v>382</v>
      </c>
      <c r="B116" s="5" t="s">
        <v>1314</v>
      </c>
      <c r="C116" s="5" t="s">
        <v>1337</v>
      </c>
      <c r="D116" s="5" t="s">
        <v>12</v>
      </c>
      <c r="E116" s="5" t="s">
        <v>104</v>
      </c>
      <c r="F116" s="27" t="s">
        <v>236</v>
      </c>
      <c r="G116" s="27" t="s">
        <v>297</v>
      </c>
      <c r="H116" s="27" t="s">
        <v>298</v>
      </c>
      <c r="I116" s="27" t="s">
        <v>1135</v>
      </c>
      <c r="J116" s="27"/>
      <c r="K116" s="27"/>
      <c r="L116" s="27"/>
      <c r="M116" s="27"/>
      <c r="N116" s="27"/>
      <c r="O116" s="5" t="s">
        <v>699</v>
      </c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</row>
    <row r="117" spans="1:50">
      <c r="A117" s="7" t="s">
        <v>383</v>
      </c>
      <c r="B117" s="5" t="s">
        <v>1314</v>
      </c>
      <c r="C117" s="5" t="s">
        <v>1337</v>
      </c>
      <c r="D117" s="5" t="s">
        <v>71</v>
      </c>
      <c r="E117" s="5" t="s">
        <v>105</v>
      </c>
      <c r="F117" s="27" t="s">
        <v>236</v>
      </c>
      <c r="G117" s="27" t="s">
        <v>297</v>
      </c>
      <c r="H117" s="27" t="s">
        <v>298</v>
      </c>
      <c r="I117" s="27" t="s">
        <v>1135</v>
      </c>
      <c r="J117" s="27"/>
      <c r="K117" s="27"/>
      <c r="L117" s="27"/>
      <c r="M117" s="27"/>
      <c r="N117" s="27"/>
      <c r="O117" s="5" t="s">
        <v>699</v>
      </c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</row>
    <row r="118" spans="1:50">
      <c r="A118" s="7" t="s">
        <v>384</v>
      </c>
      <c r="B118" s="5" t="s">
        <v>1314</v>
      </c>
      <c r="C118" s="5" t="s">
        <v>1337</v>
      </c>
      <c r="D118" s="5" t="s">
        <v>10</v>
      </c>
      <c r="E118" s="5" t="s">
        <v>106</v>
      </c>
      <c r="F118" s="27" t="s">
        <v>236</v>
      </c>
      <c r="G118" s="27" t="s">
        <v>297</v>
      </c>
      <c r="H118" s="27" t="s">
        <v>298</v>
      </c>
      <c r="I118" s="27" t="s">
        <v>1135</v>
      </c>
      <c r="J118" s="27"/>
      <c r="K118" s="27"/>
      <c r="L118" s="27"/>
      <c r="M118" s="27"/>
      <c r="N118" s="27"/>
      <c r="O118" s="5" t="s">
        <v>699</v>
      </c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</row>
    <row r="119" spans="1:50">
      <c r="A119" s="7" t="s">
        <v>385</v>
      </c>
      <c r="B119" s="5" t="s">
        <v>1314</v>
      </c>
      <c r="C119" s="5" t="s">
        <v>1337</v>
      </c>
      <c r="D119" s="5" t="s">
        <v>72</v>
      </c>
      <c r="E119" s="5" t="s">
        <v>107</v>
      </c>
      <c r="F119" s="27" t="s">
        <v>236</v>
      </c>
      <c r="G119" s="27" t="s">
        <v>297</v>
      </c>
      <c r="H119" s="27" t="s">
        <v>298</v>
      </c>
      <c r="I119" s="27" t="s">
        <v>1135</v>
      </c>
      <c r="J119" s="27"/>
      <c r="K119" s="27"/>
      <c r="L119" s="27"/>
      <c r="M119" s="27"/>
      <c r="N119" s="27"/>
      <c r="O119" s="5" t="s">
        <v>699</v>
      </c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</row>
    <row r="120" spans="1:50">
      <c r="F120" s="27"/>
      <c r="G120" s="27"/>
      <c r="H120" s="27"/>
      <c r="I120" s="27"/>
      <c r="J120" s="27"/>
      <c r="K120" s="27"/>
      <c r="L120" s="27"/>
      <c r="M120" s="27"/>
      <c r="N120" s="27"/>
      <c r="O120" s="5" t="s">
        <v>699</v>
      </c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</row>
    <row r="121" spans="1:50">
      <c r="A121" s="7" t="s">
        <v>386</v>
      </c>
      <c r="B121" s="5" t="s">
        <v>1314</v>
      </c>
      <c r="C121" s="5" t="s">
        <v>1337</v>
      </c>
      <c r="D121" s="5" t="s">
        <v>100</v>
      </c>
      <c r="E121" s="5" t="s">
        <v>108</v>
      </c>
      <c r="F121" s="27" t="s">
        <v>236</v>
      </c>
      <c r="G121" s="27" t="s">
        <v>297</v>
      </c>
      <c r="H121" s="27" t="s">
        <v>298</v>
      </c>
      <c r="I121" s="27" t="s">
        <v>1135</v>
      </c>
      <c r="J121" s="27"/>
      <c r="K121" s="27"/>
      <c r="L121" s="27"/>
      <c r="M121" s="27"/>
      <c r="N121" s="27"/>
      <c r="O121" s="5" t="s">
        <v>699</v>
      </c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</row>
    <row r="122" spans="1:50">
      <c r="A122" s="7" t="s">
        <v>387</v>
      </c>
      <c r="B122" s="5" t="s">
        <v>1314</v>
      </c>
      <c r="C122" s="5" t="s">
        <v>1337</v>
      </c>
      <c r="D122" s="5" t="s">
        <v>109</v>
      </c>
      <c r="E122" s="5" t="s">
        <v>113</v>
      </c>
      <c r="F122" s="27" t="s">
        <v>236</v>
      </c>
      <c r="G122" s="27" t="s">
        <v>297</v>
      </c>
      <c r="H122" s="27" t="s">
        <v>298</v>
      </c>
      <c r="I122" s="27" t="s">
        <v>1135</v>
      </c>
      <c r="J122" s="27"/>
      <c r="K122" s="27"/>
      <c r="L122" s="27"/>
      <c r="M122" s="27"/>
      <c r="N122" s="27"/>
      <c r="O122" s="5" t="s">
        <v>699</v>
      </c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</row>
    <row r="123" spans="1:50">
      <c r="A123" s="7" t="s">
        <v>388</v>
      </c>
      <c r="B123" s="7" t="s">
        <v>1314</v>
      </c>
      <c r="C123" s="5" t="s">
        <v>1337</v>
      </c>
      <c r="D123" s="5" t="s">
        <v>110</v>
      </c>
      <c r="E123" s="5" t="s">
        <v>114</v>
      </c>
      <c r="F123" s="27" t="s">
        <v>236</v>
      </c>
      <c r="G123" s="27" t="s">
        <v>297</v>
      </c>
      <c r="H123" s="27" t="s">
        <v>298</v>
      </c>
      <c r="I123" s="27" t="s">
        <v>1135</v>
      </c>
      <c r="J123" s="27"/>
      <c r="K123" s="27"/>
      <c r="L123" s="27"/>
      <c r="M123" s="27"/>
      <c r="N123" s="27"/>
      <c r="O123" s="5" t="s">
        <v>699</v>
      </c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</row>
    <row r="124" spans="1:50">
      <c r="A124" s="7" t="s">
        <v>389</v>
      </c>
      <c r="B124" s="5" t="s">
        <v>1314</v>
      </c>
      <c r="C124" s="5" t="s">
        <v>1337</v>
      </c>
      <c r="D124" s="5" t="s">
        <v>111</v>
      </c>
      <c r="E124" s="5" t="s">
        <v>115</v>
      </c>
      <c r="F124" s="27" t="s">
        <v>236</v>
      </c>
      <c r="G124" s="27" t="s">
        <v>297</v>
      </c>
      <c r="H124" s="27" t="s">
        <v>298</v>
      </c>
      <c r="I124" s="27" t="s">
        <v>1135</v>
      </c>
      <c r="J124" s="27"/>
      <c r="K124" s="27"/>
      <c r="L124" s="27"/>
      <c r="M124" s="27"/>
      <c r="N124" s="27"/>
      <c r="O124" s="5" t="s">
        <v>699</v>
      </c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</row>
    <row r="125" spans="1:50">
      <c r="A125" s="7" t="s">
        <v>390</v>
      </c>
      <c r="B125" s="5" t="s">
        <v>1314</v>
      </c>
      <c r="C125" s="5" t="s">
        <v>1337</v>
      </c>
      <c r="D125" s="5" t="s">
        <v>112</v>
      </c>
      <c r="E125" s="5" t="s">
        <v>116</v>
      </c>
      <c r="F125" s="27" t="s">
        <v>236</v>
      </c>
      <c r="G125" s="27" t="s">
        <v>297</v>
      </c>
      <c r="H125" s="27" t="s">
        <v>298</v>
      </c>
      <c r="I125" s="27" t="s">
        <v>1135</v>
      </c>
      <c r="J125" s="27"/>
      <c r="K125" s="27"/>
      <c r="L125" s="27"/>
      <c r="M125" s="27"/>
      <c r="N125" s="27"/>
      <c r="O125" s="5" t="s">
        <v>699</v>
      </c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</row>
    <row r="126" spans="1:50">
      <c r="B126" s="7"/>
      <c r="F126" s="27"/>
      <c r="G126" s="27"/>
      <c r="H126" s="27"/>
      <c r="I126" s="27"/>
      <c r="J126" s="27"/>
      <c r="K126" s="27"/>
      <c r="L126" s="27"/>
      <c r="M126" s="27"/>
      <c r="N126" s="27"/>
      <c r="O126" s="5" t="s">
        <v>699</v>
      </c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</row>
    <row r="127" spans="1:50">
      <c r="A127" s="7" t="s">
        <v>391</v>
      </c>
      <c r="B127" s="5" t="s">
        <v>1314</v>
      </c>
      <c r="C127" s="5" t="s">
        <v>1337</v>
      </c>
      <c r="D127" s="5" t="s">
        <v>102</v>
      </c>
      <c r="E127" s="5" t="s">
        <v>117</v>
      </c>
      <c r="F127" s="27" t="s">
        <v>236</v>
      </c>
      <c r="G127" s="27" t="s">
        <v>297</v>
      </c>
      <c r="H127" s="27" t="s">
        <v>298</v>
      </c>
      <c r="I127" s="27" t="s">
        <v>1135</v>
      </c>
      <c r="J127" s="27"/>
      <c r="K127" s="27"/>
      <c r="L127" s="27"/>
      <c r="M127" s="27"/>
      <c r="N127" s="27"/>
      <c r="O127" s="5" t="s">
        <v>699</v>
      </c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</row>
    <row r="128" spans="1:50">
      <c r="A128" s="7" t="s">
        <v>392</v>
      </c>
      <c r="B128" s="5" t="s">
        <v>1314</v>
      </c>
      <c r="C128" s="5" t="s">
        <v>1337</v>
      </c>
      <c r="D128" s="5" t="s">
        <v>118</v>
      </c>
      <c r="E128" s="5" t="s">
        <v>122</v>
      </c>
      <c r="F128" s="27" t="s">
        <v>236</v>
      </c>
      <c r="G128" s="27" t="s">
        <v>297</v>
      </c>
      <c r="H128" s="27" t="s">
        <v>298</v>
      </c>
      <c r="I128" s="27" t="s">
        <v>1135</v>
      </c>
      <c r="J128" s="27"/>
      <c r="K128" s="27"/>
      <c r="L128" s="27"/>
      <c r="M128" s="27"/>
      <c r="N128" s="27"/>
      <c r="O128" s="5" t="s">
        <v>699</v>
      </c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</row>
    <row r="129" spans="1:51 16384:16384">
      <c r="A129" s="7" t="s">
        <v>393</v>
      </c>
      <c r="B129" s="5" t="s">
        <v>1314</v>
      </c>
      <c r="C129" s="5" t="s">
        <v>1337</v>
      </c>
      <c r="D129" s="5" t="s">
        <v>119</v>
      </c>
      <c r="E129" s="5" t="s">
        <v>123</v>
      </c>
      <c r="F129" s="27" t="s">
        <v>236</v>
      </c>
      <c r="G129" s="27" t="s">
        <v>297</v>
      </c>
      <c r="H129" s="27" t="s">
        <v>298</v>
      </c>
      <c r="I129" s="27" t="s">
        <v>1135</v>
      </c>
      <c r="J129" s="27"/>
      <c r="K129" s="27"/>
      <c r="L129" s="27"/>
      <c r="M129" s="27"/>
      <c r="N129" s="27"/>
      <c r="O129" s="5" t="s">
        <v>699</v>
      </c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</row>
    <row r="130" spans="1:51 16384:16384">
      <c r="A130" s="7" t="s">
        <v>394</v>
      </c>
      <c r="B130" s="5" t="s">
        <v>1314</v>
      </c>
      <c r="C130" s="5" t="s">
        <v>1337</v>
      </c>
      <c r="D130" s="5" t="s">
        <v>120</v>
      </c>
      <c r="E130" s="5" t="s">
        <v>124</v>
      </c>
      <c r="F130" s="27" t="s">
        <v>236</v>
      </c>
      <c r="G130" s="27" t="s">
        <v>297</v>
      </c>
      <c r="H130" s="27" t="s">
        <v>298</v>
      </c>
      <c r="I130" s="27" t="s">
        <v>1135</v>
      </c>
      <c r="J130" s="27"/>
      <c r="K130" s="27"/>
      <c r="L130" s="27"/>
      <c r="M130" s="27"/>
      <c r="N130" s="27"/>
      <c r="O130" s="5" t="s">
        <v>699</v>
      </c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</row>
    <row r="131" spans="1:51 16384:16384">
      <c r="A131" s="7" t="s">
        <v>395</v>
      </c>
      <c r="B131" s="5" t="s">
        <v>1314</v>
      </c>
      <c r="C131" s="5" t="s">
        <v>1337</v>
      </c>
      <c r="D131" s="5" t="s">
        <v>121</v>
      </c>
      <c r="E131" s="5" t="s">
        <v>125</v>
      </c>
      <c r="F131" s="27" t="s">
        <v>236</v>
      </c>
      <c r="G131" s="27" t="s">
        <v>297</v>
      </c>
      <c r="H131" s="27" t="s">
        <v>298</v>
      </c>
      <c r="I131" s="27" t="s">
        <v>1135</v>
      </c>
      <c r="J131" s="27"/>
      <c r="K131" s="27"/>
      <c r="L131" s="27"/>
      <c r="M131" s="27"/>
      <c r="N131" s="27"/>
      <c r="O131" s="5" t="s">
        <v>699</v>
      </c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</row>
    <row r="132" spans="1:51 16384:16384">
      <c r="F132" s="27"/>
      <c r="G132" s="27"/>
      <c r="H132" s="27"/>
      <c r="I132" s="27"/>
      <c r="J132" s="27"/>
      <c r="K132" s="27"/>
      <c r="L132" s="27"/>
      <c r="M132" s="27"/>
      <c r="N132" s="27"/>
      <c r="O132" s="5" t="s">
        <v>699</v>
      </c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</row>
    <row r="133" spans="1:51 16384:16384">
      <c r="A133" s="7" t="s">
        <v>396</v>
      </c>
      <c r="B133" s="5" t="s">
        <v>1314</v>
      </c>
      <c r="C133" s="5" t="s">
        <v>1338</v>
      </c>
      <c r="D133" s="5" t="s">
        <v>11</v>
      </c>
      <c r="E133" s="5" t="s">
        <v>67</v>
      </c>
      <c r="F133" s="27" t="s">
        <v>236</v>
      </c>
      <c r="G133" s="27" t="s">
        <v>297</v>
      </c>
      <c r="H133" s="27" t="s">
        <v>298</v>
      </c>
      <c r="I133" s="27" t="s">
        <v>1135</v>
      </c>
      <c r="J133" s="27"/>
      <c r="K133" s="27"/>
      <c r="L133" s="27"/>
      <c r="M133" s="27"/>
      <c r="N133" s="27"/>
      <c r="O133" s="5" t="s">
        <v>699</v>
      </c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</row>
    <row r="134" spans="1:51 16384:16384">
      <c r="A134" s="7" t="s">
        <v>397</v>
      </c>
      <c r="B134" s="5" t="s">
        <v>1314</v>
      </c>
      <c r="C134" s="5" t="s">
        <v>1338</v>
      </c>
      <c r="D134" s="5" t="s">
        <v>12</v>
      </c>
      <c r="E134" s="5" t="s">
        <v>68</v>
      </c>
      <c r="F134" s="27" t="s">
        <v>236</v>
      </c>
      <c r="G134" s="27" t="s">
        <v>297</v>
      </c>
      <c r="H134" s="27" t="s">
        <v>298</v>
      </c>
      <c r="I134" s="27" t="s">
        <v>1135</v>
      </c>
      <c r="J134" s="27"/>
      <c r="K134" s="27"/>
      <c r="L134" s="27"/>
      <c r="M134" s="27"/>
      <c r="N134" s="27"/>
      <c r="O134" s="5" t="s">
        <v>699</v>
      </c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</row>
    <row r="135" spans="1:51 16384:16384">
      <c r="A135" s="7" t="s">
        <v>398</v>
      </c>
      <c r="B135" s="5" t="s">
        <v>1314</v>
      </c>
      <c r="C135" s="5" t="s">
        <v>1339</v>
      </c>
      <c r="D135" s="5" t="s">
        <v>11</v>
      </c>
      <c r="E135" s="5" t="s">
        <v>67</v>
      </c>
      <c r="F135" s="27" t="s">
        <v>236</v>
      </c>
      <c r="G135" s="27" t="s">
        <v>297</v>
      </c>
      <c r="H135" s="27" t="s">
        <v>298</v>
      </c>
      <c r="I135" s="27" t="s">
        <v>1135</v>
      </c>
      <c r="J135" s="27"/>
      <c r="K135" s="27"/>
      <c r="L135" s="27"/>
      <c r="M135" s="27"/>
      <c r="N135" s="27"/>
      <c r="O135" s="5" t="s">
        <v>699</v>
      </c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</row>
    <row r="136" spans="1:51 16384:16384">
      <c r="A136" s="7" t="s">
        <v>399</v>
      </c>
      <c r="B136" s="5" t="s">
        <v>1314</v>
      </c>
      <c r="C136" s="5" t="s">
        <v>1339</v>
      </c>
      <c r="D136" s="5" t="s">
        <v>12</v>
      </c>
      <c r="E136" s="5" t="s">
        <v>68</v>
      </c>
      <c r="F136" s="27" t="s">
        <v>236</v>
      </c>
      <c r="G136" s="27" t="s">
        <v>297</v>
      </c>
      <c r="H136" s="27" t="s">
        <v>298</v>
      </c>
      <c r="I136" s="27" t="s">
        <v>1135</v>
      </c>
      <c r="J136" s="27"/>
      <c r="K136" s="27"/>
      <c r="L136" s="27"/>
      <c r="M136" s="27"/>
      <c r="N136" s="27"/>
      <c r="O136" s="5" t="s">
        <v>699</v>
      </c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</row>
    <row r="137" spans="1:51 16384:16384" s="28" customFormat="1">
      <c r="A137" s="7" t="s">
        <v>400</v>
      </c>
      <c r="B137" s="5" t="s">
        <v>1314</v>
      </c>
      <c r="C137" s="5" t="s">
        <v>1339</v>
      </c>
      <c r="D137" s="5" t="s">
        <v>71</v>
      </c>
      <c r="E137" s="5" t="s">
        <v>69</v>
      </c>
      <c r="F137" s="27" t="s">
        <v>236</v>
      </c>
      <c r="G137" s="27" t="s">
        <v>297</v>
      </c>
      <c r="H137" s="27" t="s">
        <v>298</v>
      </c>
      <c r="I137" s="27" t="s">
        <v>1135</v>
      </c>
      <c r="J137" s="27"/>
      <c r="K137" s="27"/>
      <c r="L137" s="27"/>
      <c r="M137" s="27"/>
      <c r="N137" s="27"/>
      <c r="O137" s="5" t="s">
        <v>699</v>
      </c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5"/>
      <c r="XFD137" s="20"/>
    </row>
    <row r="138" spans="1:51 16384:16384" s="28" customFormat="1">
      <c r="A138" s="7" t="s">
        <v>401</v>
      </c>
      <c r="B138" s="5" t="s">
        <v>1314</v>
      </c>
      <c r="C138" s="5" t="s">
        <v>1339</v>
      </c>
      <c r="D138" s="5" t="s">
        <v>10</v>
      </c>
      <c r="E138" s="5" t="s">
        <v>70</v>
      </c>
      <c r="F138" s="27" t="s">
        <v>236</v>
      </c>
      <c r="G138" s="27" t="s">
        <v>297</v>
      </c>
      <c r="H138" s="27" t="s">
        <v>298</v>
      </c>
      <c r="I138" s="27" t="s">
        <v>1135</v>
      </c>
      <c r="J138" s="27"/>
      <c r="K138" s="27"/>
      <c r="L138" s="27"/>
      <c r="M138" s="27"/>
      <c r="N138" s="27"/>
      <c r="O138" s="5" t="s">
        <v>699</v>
      </c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5"/>
      <c r="XFD138" s="20"/>
    </row>
    <row r="139" spans="1:51 16384:16384" s="28" customFormat="1">
      <c r="A139" s="7" t="s">
        <v>402</v>
      </c>
      <c r="B139" s="5" t="s">
        <v>1314</v>
      </c>
      <c r="C139" s="5" t="s">
        <v>1339</v>
      </c>
      <c r="D139" s="5" t="s">
        <v>72</v>
      </c>
      <c r="E139" s="5" t="s">
        <v>73</v>
      </c>
      <c r="F139" s="27" t="s">
        <v>236</v>
      </c>
      <c r="G139" s="27" t="s">
        <v>297</v>
      </c>
      <c r="H139" s="27" t="s">
        <v>298</v>
      </c>
      <c r="I139" s="27" t="s">
        <v>1135</v>
      </c>
      <c r="J139" s="27"/>
      <c r="K139" s="27"/>
      <c r="L139" s="27"/>
      <c r="M139" s="27"/>
      <c r="N139" s="27"/>
      <c r="O139" s="5" t="s">
        <v>699</v>
      </c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5"/>
      <c r="XFD139" s="20"/>
    </row>
    <row r="140" spans="1:51 16384:16384" s="28" customFormat="1">
      <c r="A140" s="7" t="s">
        <v>403</v>
      </c>
      <c r="B140" s="5" t="s">
        <v>1314</v>
      </c>
      <c r="C140" s="5" t="s">
        <v>1339</v>
      </c>
      <c r="D140" s="5" t="s">
        <v>74</v>
      </c>
      <c r="E140" s="5" t="s">
        <v>75</v>
      </c>
      <c r="F140" s="27" t="s">
        <v>236</v>
      </c>
      <c r="G140" s="27" t="s">
        <v>297</v>
      </c>
      <c r="H140" s="27" t="s">
        <v>298</v>
      </c>
      <c r="I140" s="27" t="s">
        <v>1135</v>
      </c>
      <c r="J140" s="27"/>
      <c r="K140" s="27"/>
      <c r="L140" s="27"/>
      <c r="M140" s="27"/>
      <c r="N140" s="27"/>
      <c r="O140" s="5" t="s">
        <v>699</v>
      </c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5"/>
      <c r="XFD140" s="20"/>
    </row>
    <row r="141" spans="1:51 16384:16384" s="28" customFormat="1">
      <c r="A141" s="7"/>
      <c r="B141" s="5"/>
      <c r="C141" s="5"/>
      <c r="D141" s="5"/>
      <c r="E141" s="5"/>
      <c r="F141" s="27"/>
      <c r="G141" s="27"/>
      <c r="H141" s="27"/>
      <c r="I141" s="27"/>
      <c r="J141" s="27"/>
      <c r="K141" s="27"/>
      <c r="L141" s="27"/>
      <c r="M141" s="27"/>
      <c r="N141" s="27"/>
      <c r="O141" s="5" t="s">
        <v>699</v>
      </c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5"/>
      <c r="XFD141" s="20"/>
    </row>
    <row r="142" spans="1:51 16384:16384" s="28" customFormat="1">
      <c r="A142" s="7" t="s">
        <v>407</v>
      </c>
      <c r="B142" s="5" t="s">
        <v>1314</v>
      </c>
      <c r="C142" s="5" t="s">
        <v>1340</v>
      </c>
      <c r="D142" s="5" t="s">
        <v>11</v>
      </c>
      <c r="E142" s="5" t="s">
        <v>67</v>
      </c>
      <c r="F142" s="27" t="s">
        <v>236</v>
      </c>
      <c r="G142" s="27" t="s">
        <v>297</v>
      </c>
      <c r="H142" s="27" t="s">
        <v>298</v>
      </c>
      <c r="I142" s="27" t="s">
        <v>1136</v>
      </c>
      <c r="J142" s="27"/>
      <c r="K142" s="27"/>
      <c r="L142" s="27"/>
      <c r="M142" s="27"/>
      <c r="N142" s="27"/>
      <c r="O142" s="5" t="s">
        <v>699</v>
      </c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5"/>
      <c r="XFD142" s="20"/>
    </row>
    <row r="143" spans="1:51 16384:16384" s="28" customFormat="1">
      <c r="A143" s="7" t="s">
        <v>408</v>
      </c>
      <c r="B143" s="5" t="s">
        <v>1314</v>
      </c>
      <c r="C143" s="5" t="s">
        <v>1340</v>
      </c>
      <c r="D143" s="5" t="s">
        <v>12</v>
      </c>
      <c r="E143" s="5" t="s">
        <v>68</v>
      </c>
      <c r="F143" s="27" t="s">
        <v>236</v>
      </c>
      <c r="G143" s="27" t="s">
        <v>297</v>
      </c>
      <c r="H143" s="27" t="s">
        <v>298</v>
      </c>
      <c r="I143" s="27" t="s">
        <v>1136</v>
      </c>
      <c r="J143" s="27"/>
      <c r="K143" s="27"/>
      <c r="L143" s="27"/>
      <c r="M143" s="27"/>
      <c r="N143" s="27"/>
      <c r="O143" s="5" t="s">
        <v>699</v>
      </c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5"/>
      <c r="XFD143" s="20"/>
    </row>
    <row r="144" spans="1:51 16384:16384">
      <c r="A144" s="7" t="s">
        <v>409</v>
      </c>
      <c r="B144" s="5" t="s">
        <v>1314</v>
      </c>
      <c r="C144" s="5" t="s">
        <v>1340</v>
      </c>
      <c r="D144" s="5" t="s">
        <v>71</v>
      </c>
      <c r="E144" s="5" t="s">
        <v>69</v>
      </c>
      <c r="F144" s="27" t="s">
        <v>236</v>
      </c>
      <c r="G144" s="27" t="s">
        <v>297</v>
      </c>
      <c r="H144" s="27" t="s">
        <v>298</v>
      </c>
      <c r="I144" s="27" t="s">
        <v>1136</v>
      </c>
      <c r="J144" s="27"/>
      <c r="K144" s="27"/>
      <c r="L144" s="27"/>
      <c r="M144" s="27"/>
      <c r="N144" s="27"/>
      <c r="O144" s="5" t="s">
        <v>699</v>
      </c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</row>
    <row r="145" spans="1:50">
      <c r="A145" s="7" t="s">
        <v>410</v>
      </c>
      <c r="B145" s="5" t="s">
        <v>1314</v>
      </c>
      <c r="C145" s="5" t="s">
        <v>1340</v>
      </c>
      <c r="D145" s="5" t="s">
        <v>10</v>
      </c>
      <c r="E145" s="5" t="s">
        <v>70</v>
      </c>
      <c r="F145" s="27" t="s">
        <v>236</v>
      </c>
      <c r="G145" s="27" t="s">
        <v>297</v>
      </c>
      <c r="H145" s="27" t="s">
        <v>298</v>
      </c>
      <c r="I145" s="27" t="s">
        <v>1136</v>
      </c>
      <c r="J145" s="27"/>
      <c r="K145" s="27"/>
      <c r="L145" s="27"/>
      <c r="M145" s="27"/>
      <c r="N145" s="27"/>
      <c r="O145" s="5" t="s">
        <v>699</v>
      </c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</row>
    <row r="146" spans="1:50">
      <c r="A146" s="7" t="s">
        <v>411</v>
      </c>
      <c r="B146" s="5" t="s">
        <v>1314</v>
      </c>
      <c r="C146" s="5" t="s">
        <v>1341</v>
      </c>
      <c r="D146" s="5" t="s">
        <v>11</v>
      </c>
      <c r="E146" s="5" t="s">
        <v>67</v>
      </c>
      <c r="F146" s="27" t="s">
        <v>236</v>
      </c>
      <c r="G146" s="27" t="s">
        <v>297</v>
      </c>
      <c r="H146" s="27" t="s">
        <v>298</v>
      </c>
      <c r="I146" s="27" t="s">
        <v>1136</v>
      </c>
      <c r="J146" s="27"/>
      <c r="K146" s="27"/>
      <c r="L146" s="27"/>
      <c r="M146" s="27"/>
      <c r="N146" s="27"/>
      <c r="O146" s="5" t="s">
        <v>699</v>
      </c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</row>
    <row r="147" spans="1:50">
      <c r="A147" s="7" t="s">
        <v>412</v>
      </c>
      <c r="B147" s="5" t="s">
        <v>1314</v>
      </c>
      <c r="C147" s="5" t="s">
        <v>1341</v>
      </c>
      <c r="D147" s="5" t="s">
        <v>12</v>
      </c>
      <c r="E147" s="5" t="s">
        <v>68</v>
      </c>
      <c r="F147" s="27" t="s">
        <v>236</v>
      </c>
      <c r="G147" s="27" t="s">
        <v>297</v>
      </c>
      <c r="H147" s="27" t="s">
        <v>298</v>
      </c>
      <c r="I147" s="27" t="s">
        <v>1136</v>
      </c>
      <c r="J147" s="27"/>
      <c r="K147" s="27"/>
      <c r="L147" s="27"/>
      <c r="M147" s="27"/>
      <c r="N147" s="27"/>
      <c r="O147" s="5" t="s">
        <v>699</v>
      </c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</row>
    <row r="148" spans="1:50">
      <c r="A148" s="7" t="s">
        <v>413</v>
      </c>
      <c r="B148" s="5" t="s">
        <v>1314</v>
      </c>
      <c r="C148" s="5" t="s">
        <v>1341</v>
      </c>
      <c r="D148" s="5" t="s">
        <v>71</v>
      </c>
      <c r="E148" s="5" t="s">
        <v>69</v>
      </c>
      <c r="F148" s="27" t="s">
        <v>236</v>
      </c>
      <c r="G148" s="27" t="s">
        <v>297</v>
      </c>
      <c r="H148" s="27" t="s">
        <v>298</v>
      </c>
      <c r="I148" s="27" t="s">
        <v>1136</v>
      </c>
      <c r="J148" s="27"/>
      <c r="K148" s="27"/>
      <c r="L148" s="27"/>
      <c r="M148" s="27"/>
      <c r="N148" s="27"/>
      <c r="O148" s="5" t="s">
        <v>699</v>
      </c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</row>
    <row r="149" spans="1:50">
      <c r="A149" s="7" t="s">
        <v>414</v>
      </c>
      <c r="B149" s="5" t="s">
        <v>1314</v>
      </c>
      <c r="C149" s="5" t="s">
        <v>1341</v>
      </c>
      <c r="D149" s="5" t="s">
        <v>10</v>
      </c>
      <c r="E149" s="5" t="s">
        <v>70</v>
      </c>
      <c r="F149" s="27" t="s">
        <v>236</v>
      </c>
      <c r="G149" s="27" t="s">
        <v>297</v>
      </c>
      <c r="H149" s="27" t="s">
        <v>298</v>
      </c>
      <c r="I149" s="27" t="s">
        <v>1136</v>
      </c>
      <c r="J149" s="27"/>
      <c r="K149" s="27"/>
      <c r="L149" s="27"/>
      <c r="M149" s="27"/>
      <c r="N149" s="27"/>
      <c r="O149" s="5" t="s">
        <v>699</v>
      </c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</row>
    <row r="150" spans="1:50">
      <c r="A150" s="7" t="s">
        <v>415</v>
      </c>
      <c r="B150" s="5" t="s">
        <v>1314</v>
      </c>
      <c r="C150" s="5" t="s">
        <v>1341</v>
      </c>
      <c r="D150" s="5" t="s">
        <v>72</v>
      </c>
      <c r="E150" s="5" t="s">
        <v>73</v>
      </c>
      <c r="F150" s="27" t="s">
        <v>236</v>
      </c>
      <c r="G150" s="27" t="s">
        <v>297</v>
      </c>
      <c r="H150" s="27" t="s">
        <v>298</v>
      </c>
      <c r="I150" s="27" t="s">
        <v>1136</v>
      </c>
      <c r="J150" s="27"/>
      <c r="K150" s="27"/>
      <c r="L150" s="27"/>
      <c r="M150" s="27"/>
      <c r="N150" s="27"/>
      <c r="O150" s="5" t="s">
        <v>699</v>
      </c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</row>
    <row r="151" spans="1:50">
      <c r="A151" s="7" t="s">
        <v>416</v>
      </c>
      <c r="B151" s="5" t="s">
        <v>1314</v>
      </c>
      <c r="C151" s="5" t="s">
        <v>1341</v>
      </c>
      <c r="D151" s="5" t="s">
        <v>74</v>
      </c>
      <c r="E151" s="5" t="s">
        <v>75</v>
      </c>
      <c r="F151" s="27" t="s">
        <v>236</v>
      </c>
      <c r="G151" s="27" t="s">
        <v>297</v>
      </c>
      <c r="H151" s="27" t="s">
        <v>298</v>
      </c>
      <c r="I151" s="27" t="s">
        <v>1136</v>
      </c>
      <c r="J151" s="27"/>
      <c r="K151" s="27"/>
      <c r="L151" s="27"/>
      <c r="M151" s="27"/>
      <c r="N151" s="27"/>
      <c r="O151" s="5" t="s">
        <v>699</v>
      </c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</row>
    <row r="152" spans="1:50">
      <c r="A152" s="7" t="s">
        <v>417</v>
      </c>
      <c r="B152" s="5" t="s">
        <v>1314</v>
      </c>
      <c r="C152" s="5" t="s">
        <v>1341</v>
      </c>
      <c r="D152" s="5" t="s">
        <v>77</v>
      </c>
      <c r="E152" s="5" t="s">
        <v>76</v>
      </c>
      <c r="F152" s="27" t="s">
        <v>236</v>
      </c>
      <c r="G152" s="27" t="s">
        <v>297</v>
      </c>
      <c r="H152" s="27" t="s">
        <v>298</v>
      </c>
      <c r="I152" s="27" t="s">
        <v>1136</v>
      </c>
      <c r="J152" s="27"/>
      <c r="K152" s="27"/>
      <c r="L152" s="27"/>
      <c r="M152" s="27"/>
      <c r="N152" s="27"/>
      <c r="O152" s="5" t="s">
        <v>699</v>
      </c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</row>
    <row r="153" spans="1:50">
      <c r="A153" s="7" t="s">
        <v>418</v>
      </c>
      <c r="B153" s="5" t="s">
        <v>1314</v>
      </c>
      <c r="C153" s="5" t="s">
        <v>1341</v>
      </c>
      <c r="D153" s="5" t="s">
        <v>78</v>
      </c>
      <c r="E153" s="5" t="s">
        <v>79</v>
      </c>
      <c r="F153" s="27" t="s">
        <v>236</v>
      </c>
      <c r="G153" s="27" t="s">
        <v>297</v>
      </c>
      <c r="H153" s="27" t="s">
        <v>298</v>
      </c>
      <c r="I153" s="27" t="s">
        <v>1136</v>
      </c>
      <c r="J153" s="27"/>
      <c r="K153" s="27"/>
      <c r="L153" s="27"/>
      <c r="M153" s="27"/>
      <c r="N153" s="27"/>
      <c r="O153" s="5" t="s">
        <v>699</v>
      </c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</row>
    <row r="154" spans="1:50">
      <c r="A154" s="7" t="s">
        <v>419</v>
      </c>
      <c r="B154" s="5" t="s">
        <v>1314</v>
      </c>
      <c r="C154" s="5" t="s">
        <v>1341</v>
      </c>
      <c r="D154" s="5" t="s">
        <v>80</v>
      </c>
      <c r="E154" s="5" t="s">
        <v>81</v>
      </c>
      <c r="F154" s="27" t="s">
        <v>236</v>
      </c>
      <c r="G154" s="27" t="s">
        <v>297</v>
      </c>
      <c r="H154" s="27" t="s">
        <v>298</v>
      </c>
      <c r="I154" s="27" t="s">
        <v>1136</v>
      </c>
      <c r="J154" s="27"/>
      <c r="K154" s="27"/>
      <c r="L154" s="27"/>
      <c r="M154" s="27"/>
      <c r="N154" s="27"/>
      <c r="O154" s="5" t="s">
        <v>699</v>
      </c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</row>
    <row r="155" spans="1:50">
      <c r="A155" s="7" t="s">
        <v>420</v>
      </c>
      <c r="B155" s="5" t="s">
        <v>1314</v>
      </c>
      <c r="C155" s="5" t="s">
        <v>1341</v>
      </c>
      <c r="D155" s="5" t="s">
        <v>82</v>
      </c>
      <c r="E155" s="5" t="s">
        <v>83</v>
      </c>
      <c r="F155" s="27" t="s">
        <v>236</v>
      </c>
      <c r="G155" s="27" t="s">
        <v>297</v>
      </c>
      <c r="H155" s="27" t="s">
        <v>298</v>
      </c>
      <c r="I155" s="27" t="s">
        <v>1136</v>
      </c>
      <c r="J155" s="27"/>
      <c r="K155" s="27"/>
      <c r="L155" s="27"/>
      <c r="M155" s="27"/>
      <c r="N155" s="27"/>
      <c r="O155" s="5" t="s">
        <v>699</v>
      </c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</row>
    <row r="156" spans="1:50">
      <c r="A156" s="7" t="s">
        <v>422</v>
      </c>
      <c r="B156" s="5" t="s">
        <v>1314</v>
      </c>
      <c r="C156" s="5" t="s">
        <v>1342</v>
      </c>
      <c r="D156" s="5" t="s">
        <v>84</v>
      </c>
      <c r="E156" s="5" t="s">
        <v>85</v>
      </c>
      <c r="F156" s="27" t="s">
        <v>236</v>
      </c>
      <c r="G156" s="27" t="s">
        <v>297</v>
      </c>
      <c r="H156" s="27" t="s">
        <v>298</v>
      </c>
      <c r="I156" s="27" t="s">
        <v>1137</v>
      </c>
      <c r="J156" s="27"/>
      <c r="K156" s="27"/>
      <c r="L156" s="27"/>
      <c r="M156" s="27"/>
      <c r="N156" s="27"/>
      <c r="O156" s="5" t="s">
        <v>699</v>
      </c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</row>
    <row r="157" spans="1:50">
      <c r="A157" s="7" t="s">
        <v>425</v>
      </c>
      <c r="B157" s="5" t="s">
        <v>1314</v>
      </c>
      <c r="C157" s="5" t="s">
        <v>1343</v>
      </c>
      <c r="D157" s="5" t="s">
        <v>86</v>
      </c>
      <c r="E157" s="5" t="s">
        <v>87</v>
      </c>
      <c r="F157" s="27" t="s">
        <v>236</v>
      </c>
      <c r="G157" s="27" t="s">
        <v>297</v>
      </c>
      <c r="H157" s="27" t="s">
        <v>298</v>
      </c>
      <c r="I157" s="27" t="s">
        <v>1138</v>
      </c>
      <c r="J157" s="27"/>
      <c r="K157" s="27"/>
      <c r="L157" s="27"/>
      <c r="M157" s="27"/>
      <c r="N157" s="27"/>
      <c r="O157" s="5" t="s">
        <v>699</v>
      </c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</row>
    <row r="158" spans="1:50">
      <c r="F158" s="27"/>
      <c r="G158" s="27"/>
      <c r="H158" s="27"/>
      <c r="I158" s="27"/>
      <c r="J158" s="27"/>
      <c r="K158" s="27"/>
      <c r="L158" s="27"/>
      <c r="M158" s="27"/>
      <c r="N158" s="27"/>
      <c r="O158" s="5" t="s">
        <v>699</v>
      </c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</row>
    <row r="159" spans="1:50">
      <c r="A159" s="7" t="s">
        <v>233</v>
      </c>
      <c r="B159" s="5" t="s">
        <v>129</v>
      </c>
      <c r="C159" s="5" t="s">
        <v>1344</v>
      </c>
      <c r="D159" s="5" t="s">
        <v>130</v>
      </c>
      <c r="E159" s="5" t="s">
        <v>131</v>
      </c>
      <c r="F159" s="27" t="s">
        <v>299</v>
      </c>
      <c r="G159" s="27" t="s">
        <v>300</v>
      </c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</row>
    <row r="160" spans="1:50"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</row>
    <row r="161" spans="1:50">
      <c r="A161" s="7" t="s">
        <v>223</v>
      </c>
      <c r="B161" s="5" t="s">
        <v>39</v>
      </c>
      <c r="C161" s="5" t="s">
        <v>2</v>
      </c>
      <c r="D161" s="5" t="s">
        <v>20</v>
      </c>
      <c r="E161" s="5" t="s">
        <v>88</v>
      </c>
      <c r="F161" s="27" t="s">
        <v>464</v>
      </c>
      <c r="G161" s="27" t="s">
        <v>465</v>
      </c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</row>
    <row r="162" spans="1:50"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</row>
    <row r="163" spans="1:50">
      <c r="A163" s="7" t="s">
        <v>224</v>
      </c>
      <c r="B163" s="5" t="s">
        <v>90</v>
      </c>
      <c r="C163" s="5" t="s">
        <v>89</v>
      </c>
      <c r="D163" s="5" t="s">
        <v>20</v>
      </c>
      <c r="E163" s="5" t="s">
        <v>41</v>
      </c>
      <c r="F163" s="27" t="s">
        <v>467</v>
      </c>
      <c r="G163" s="27" t="s">
        <v>468</v>
      </c>
      <c r="H163" s="27" t="s">
        <v>469</v>
      </c>
      <c r="I163" s="27" t="s">
        <v>1112</v>
      </c>
      <c r="J163" s="27" t="s">
        <v>1113</v>
      </c>
      <c r="K163" s="27" t="s">
        <v>1114</v>
      </c>
      <c r="L163" s="27" t="s">
        <v>1115</v>
      </c>
      <c r="M163" s="27" t="s">
        <v>1116</v>
      </c>
      <c r="N163" s="27" t="s">
        <v>1117</v>
      </c>
      <c r="O163" s="27" t="s">
        <v>1118</v>
      </c>
      <c r="P163" s="27" t="s">
        <v>1119</v>
      </c>
      <c r="Q163" s="27" t="s">
        <v>1120</v>
      </c>
      <c r="R163" s="27" t="s">
        <v>1121</v>
      </c>
      <c r="S163" s="27" t="s">
        <v>1122</v>
      </c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</row>
    <row r="164" spans="1:50"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</row>
    <row r="165" spans="1:50">
      <c r="A165" s="7" t="s">
        <v>225</v>
      </c>
      <c r="B165" s="5" t="s">
        <v>573</v>
      </c>
      <c r="C165" s="5" t="s">
        <v>29</v>
      </c>
      <c r="D165" s="5" t="s">
        <v>20</v>
      </c>
      <c r="E165" s="5" t="s">
        <v>91</v>
      </c>
      <c r="F165" s="27" t="s">
        <v>457</v>
      </c>
      <c r="G165" s="27" t="s">
        <v>458</v>
      </c>
      <c r="H165" s="27" t="s">
        <v>459</v>
      </c>
      <c r="I165" s="27" t="s">
        <v>460</v>
      </c>
      <c r="J165" s="27" t="s">
        <v>461</v>
      </c>
      <c r="K165" s="27" t="s">
        <v>462</v>
      </c>
      <c r="L165" s="27" t="s">
        <v>463</v>
      </c>
      <c r="M165" s="27" t="s">
        <v>1123</v>
      </c>
      <c r="N165" s="27" t="s">
        <v>1124</v>
      </c>
      <c r="O165" s="27" t="s">
        <v>1125</v>
      </c>
      <c r="P165" s="27" t="s">
        <v>1126</v>
      </c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</row>
    <row r="166" spans="1:50">
      <c r="A166" s="7" t="s">
        <v>226</v>
      </c>
      <c r="B166" s="5" t="s">
        <v>27</v>
      </c>
      <c r="C166" s="5" t="s">
        <v>28</v>
      </c>
      <c r="D166" s="5" t="s">
        <v>20</v>
      </c>
      <c r="E166" s="5" t="s">
        <v>92</v>
      </c>
      <c r="F166" s="27" t="s">
        <v>470</v>
      </c>
      <c r="G166" s="27" t="s">
        <v>1127</v>
      </c>
      <c r="H166" s="27" t="s">
        <v>1128</v>
      </c>
      <c r="I166" s="27" t="s">
        <v>1129</v>
      </c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</row>
    <row r="167" spans="1:50"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</row>
    <row r="168" spans="1:50">
      <c r="A168" s="7" t="s">
        <v>227</v>
      </c>
      <c r="B168" s="5" t="s">
        <v>574</v>
      </c>
      <c r="C168" s="5" t="s">
        <v>575</v>
      </c>
      <c r="D168" s="5" t="s">
        <v>11</v>
      </c>
      <c r="E168" s="5" t="s">
        <v>26</v>
      </c>
      <c r="F168" s="27" t="s">
        <v>455</v>
      </c>
      <c r="G168" s="27" t="s">
        <v>456</v>
      </c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</row>
    <row r="169" spans="1:50"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</row>
    <row r="170" spans="1:50">
      <c r="A170" s="7" t="s">
        <v>228</v>
      </c>
      <c r="B170" s="5" t="s">
        <v>30</v>
      </c>
      <c r="C170" s="5" t="s">
        <v>31</v>
      </c>
      <c r="D170" s="5" t="s">
        <v>25</v>
      </c>
      <c r="E170" s="5" t="s">
        <v>32</v>
      </c>
      <c r="F170" s="27" t="s">
        <v>450</v>
      </c>
      <c r="G170" s="27" t="s">
        <v>451</v>
      </c>
      <c r="H170" s="27" t="s">
        <v>452</v>
      </c>
      <c r="I170" s="27" t="s">
        <v>453</v>
      </c>
      <c r="J170" s="27" t="s">
        <v>454</v>
      </c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</row>
    <row r="171" spans="1:50">
      <c r="A171" s="7" t="s">
        <v>229</v>
      </c>
      <c r="B171" s="5" t="s">
        <v>33</v>
      </c>
      <c r="C171" s="5" t="s">
        <v>34</v>
      </c>
      <c r="D171" s="5" t="s">
        <v>25</v>
      </c>
      <c r="E171" s="5" t="s">
        <v>32</v>
      </c>
      <c r="F171" s="27" t="s">
        <v>450</v>
      </c>
      <c r="G171" s="27" t="s">
        <v>451</v>
      </c>
      <c r="H171" s="27" t="s">
        <v>452</v>
      </c>
      <c r="I171" s="27" t="s">
        <v>453</v>
      </c>
      <c r="J171" s="27" t="s">
        <v>454</v>
      </c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</row>
    <row r="172" spans="1:50">
      <c r="A172" s="7" t="s">
        <v>230</v>
      </c>
      <c r="B172" s="5" t="s">
        <v>36</v>
      </c>
      <c r="C172" s="5" t="s">
        <v>35</v>
      </c>
      <c r="D172" s="5" t="s">
        <v>25</v>
      </c>
      <c r="E172" s="5" t="s">
        <v>32</v>
      </c>
      <c r="F172" s="27" t="s">
        <v>450</v>
      </c>
      <c r="G172" s="27" t="s">
        <v>451</v>
      </c>
      <c r="H172" s="27" t="s">
        <v>452</v>
      </c>
      <c r="I172" s="27" t="s">
        <v>453</v>
      </c>
      <c r="J172" s="27" t="s">
        <v>454</v>
      </c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</row>
    <row r="173" spans="1:50">
      <c r="A173" s="7" t="s">
        <v>231</v>
      </c>
      <c r="B173" s="5" t="s">
        <v>38</v>
      </c>
      <c r="C173" s="5" t="s">
        <v>37</v>
      </c>
      <c r="D173" s="5" t="s">
        <v>25</v>
      </c>
      <c r="E173" s="5" t="s">
        <v>32</v>
      </c>
      <c r="F173" s="27" t="s">
        <v>450</v>
      </c>
      <c r="G173" s="27" t="s">
        <v>451</v>
      </c>
      <c r="H173" s="27" t="s">
        <v>452</v>
      </c>
      <c r="I173" s="27" t="s">
        <v>453</v>
      </c>
      <c r="J173" s="27" t="s">
        <v>454</v>
      </c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</row>
    <row r="174" spans="1:50"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</row>
    <row r="175" spans="1:50">
      <c r="A175" s="7" t="s">
        <v>232</v>
      </c>
      <c r="B175" s="5" t="s">
        <v>576</v>
      </c>
      <c r="C175" s="5" t="s">
        <v>577</v>
      </c>
      <c r="D175" s="5" t="s">
        <v>25</v>
      </c>
      <c r="E175" s="5" t="s">
        <v>40</v>
      </c>
      <c r="F175" s="27" t="s">
        <v>448</v>
      </c>
      <c r="G175" s="27" t="s">
        <v>449</v>
      </c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</row>
    <row r="176" spans="1:50"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</row>
    <row r="177" spans="1:50">
      <c r="A177" s="7" t="s">
        <v>60</v>
      </c>
      <c r="B177" s="5" t="s">
        <v>93</v>
      </c>
      <c r="C177" s="5" t="s">
        <v>1</v>
      </c>
      <c r="D177" s="5" t="s">
        <v>25</v>
      </c>
      <c r="E177" s="5" t="s">
        <v>43</v>
      </c>
      <c r="F177" s="27" t="s">
        <v>301</v>
      </c>
      <c r="G177" s="27" t="s">
        <v>302</v>
      </c>
      <c r="H177" s="27" t="s">
        <v>303</v>
      </c>
      <c r="I177" s="27" t="s">
        <v>304</v>
      </c>
      <c r="J177" s="27" t="s">
        <v>305</v>
      </c>
      <c r="K177" s="27" t="s">
        <v>306</v>
      </c>
      <c r="L177" s="27" t="s">
        <v>307</v>
      </c>
      <c r="M177" s="27" t="s">
        <v>308</v>
      </c>
      <c r="N177" s="27" t="s">
        <v>309</v>
      </c>
      <c r="O177" s="27" t="s">
        <v>310</v>
      </c>
      <c r="P177" s="27" t="s">
        <v>681</v>
      </c>
      <c r="Q177" s="27" t="s">
        <v>682</v>
      </c>
      <c r="R177" s="27" t="s">
        <v>683</v>
      </c>
      <c r="S177" s="27" t="s">
        <v>684</v>
      </c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</row>
    <row r="178" spans="1:50">
      <c r="A178" s="7" t="s">
        <v>61</v>
      </c>
      <c r="B178" s="5" t="s">
        <v>94</v>
      </c>
      <c r="C178" s="5" t="s">
        <v>14</v>
      </c>
      <c r="D178" s="5" t="s">
        <v>25</v>
      </c>
      <c r="E178" s="5" t="s">
        <v>43</v>
      </c>
      <c r="F178" s="27" t="s">
        <v>301</v>
      </c>
      <c r="G178" s="27" t="s">
        <v>302</v>
      </c>
      <c r="H178" s="27" t="s">
        <v>303</v>
      </c>
      <c r="I178" s="27" t="s">
        <v>304</v>
      </c>
      <c r="J178" s="27" t="s">
        <v>305</v>
      </c>
      <c r="K178" s="27" t="s">
        <v>306</v>
      </c>
      <c r="L178" s="27" t="s">
        <v>307</v>
      </c>
      <c r="M178" s="27" t="s">
        <v>308</v>
      </c>
      <c r="N178" s="27" t="s">
        <v>309</v>
      </c>
      <c r="O178" s="27" t="s">
        <v>310</v>
      </c>
      <c r="P178" s="27" t="s">
        <v>681</v>
      </c>
      <c r="Q178" s="27" t="s">
        <v>682</v>
      </c>
      <c r="R178" s="27" t="s">
        <v>683</v>
      </c>
      <c r="S178" s="27" t="s">
        <v>684</v>
      </c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</row>
    <row r="179" spans="1:50">
      <c r="A179" s="7" t="s">
        <v>62</v>
      </c>
      <c r="B179" s="5" t="s">
        <v>95</v>
      </c>
      <c r="C179" s="5" t="s">
        <v>18</v>
      </c>
      <c r="D179" s="5" t="s">
        <v>25</v>
      </c>
      <c r="E179" s="5" t="s">
        <v>43</v>
      </c>
      <c r="F179" s="27" t="s">
        <v>301</v>
      </c>
      <c r="G179" s="27" t="s">
        <v>302</v>
      </c>
      <c r="H179" s="27" t="s">
        <v>303</v>
      </c>
      <c r="I179" s="27" t="s">
        <v>304</v>
      </c>
      <c r="J179" s="27" t="s">
        <v>305</v>
      </c>
      <c r="K179" s="27" t="s">
        <v>306</v>
      </c>
      <c r="L179" s="27" t="s">
        <v>307</v>
      </c>
      <c r="M179" s="27" t="s">
        <v>308</v>
      </c>
      <c r="N179" s="27" t="s">
        <v>309</v>
      </c>
      <c r="O179" s="27" t="s">
        <v>310</v>
      </c>
      <c r="P179" s="27" t="s">
        <v>681</v>
      </c>
      <c r="Q179" s="27" t="s">
        <v>682</v>
      </c>
      <c r="R179" s="27" t="s">
        <v>683</v>
      </c>
      <c r="S179" s="27" t="s">
        <v>684</v>
      </c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</row>
    <row r="180" spans="1:50">
      <c r="A180" s="7" t="s">
        <v>63</v>
      </c>
      <c r="B180" s="5" t="s">
        <v>96</v>
      </c>
      <c r="C180" s="5" t="s">
        <v>15</v>
      </c>
      <c r="D180" s="5" t="s">
        <v>25</v>
      </c>
      <c r="E180" s="5" t="s">
        <v>43</v>
      </c>
      <c r="F180" s="27" t="s">
        <v>301</v>
      </c>
      <c r="G180" s="27" t="s">
        <v>302</v>
      </c>
      <c r="H180" s="27" t="s">
        <v>303</v>
      </c>
      <c r="I180" s="27" t="s">
        <v>304</v>
      </c>
      <c r="J180" s="27" t="s">
        <v>305</v>
      </c>
      <c r="K180" s="27" t="s">
        <v>311</v>
      </c>
      <c r="L180" s="27" t="s">
        <v>312</v>
      </c>
      <c r="M180" s="27" t="s">
        <v>313</v>
      </c>
      <c r="N180" s="27" t="s">
        <v>314</v>
      </c>
      <c r="O180" s="27" t="s">
        <v>315</v>
      </c>
      <c r="P180" s="27" t="s">
        <v>316</v>
      </c>
      <c r="Q180" s="27" t="s">
        <v>317</v>
      </c>
      <c r="R180" s="27" t="s">
        <v>318</v>
      </c>
      <c r="S180" s="27" t="s">
        <v>319</v>
      </c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</row>
    <row r="181" spans="1:50">
      <c r="A181" s="7" t="s">
        <v>64</v>
      </c>
      <c r="B181" s="5" t="s">
        <v>97</v>
      </c>
      <c r="C181" s="5" t="s">
        <v>17</v>
      </c>
      <c r="D181" s="5" t="s">
        <v>25</v>
      </c>
      <c r="E181" s="5" t="s">
        <v>43</v>
      </c>
      <c r="F181" s="27" t="s">
        <v>301</v>
      </c>
      <c r="G181" s="27" t="s">
        <v>302</v>
      </c>
      <c r="H181" s="27" t="s">
        <v>303</v>
      </c>
      <c r="I181" s="27" t="s">
        <v>304</v>
      </c>
      <c r="J181" s="27" t="s">
        <v>305</v>
      </c>
      <c r="K181" s="27" t="s">
        <v>311</v>
      </c>
      <c r="L181" s="27" t="s">
        <v>312</v>
      </c>
      <c r="M181" s="27" t="s">
        <v>313</v>
      </c>
      <c r="N181" s="27" t="s">
        <v>314</v>
      </c>
      <c r="O181" s="27" t="s">
        <v>315</v>
      </c>
      <c r="P181" s="27" t="s">
        <v>316</v>
      </c>
      <c r="Q181" s="27" t="s">
        <v>320</v>
      </c>
      <c r="R181" s="27" t="s">
        <v>321</v>
      </c>
      <c r="S181" s="27" t="s">
        <v>322</v>
      </c>
      <c r="T181" s="27" t="s">
        <v>323</v>
      </c>
      <c r="U181" s="27" t="s">
        <v>324</v>
      </c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</row>
    <row r="182" spans="1:50">
      <c r="A182" s="7" t="s">
        <v>65</v>
      </c>
      <c r="B182" s="5" t="s">
        <v>98</v>
      </c>
      <c r="C182" s="5" t="s">
        <v>42</v>
      </c>
      <c r="D182" s="5" t="s">
        <v>25</v>
      </c>
      <c r="E182" s="5" t="s">
        <v>43</v>
      </c>
      <c r="F182" s="27" t="s">
        <v>301</v>
      </c>
      <c r="G182" s="27" t="s">
        <v>302</v>
      </c>
      <c r="H182" s="27" t="s">
        <v>303</v>
      </c>
      <c r="I182" s="27" t="s">
        <v>304</v>
      </c>
      <c r="J182" s="27" t="s">
        <v>305</v>
      </c>
      <c r="K182" s="27" t="s">
        <v>311</v>
      </c>
      <c r="L182" s="27" t="s">
        <v>312</v>
      </c>
      <c r="M182" s="27" t="s">
        <v>315</v>
      </c>
      <c r="N182" s="27" t="s">
        <v>316</v>
      </c>
      <c r="O182" s="27" t="s">
        <v>320</v>
      </c>
      <c r="P182" s="27" t="s">
        <v>321</v>
      </c>
      <c r="Q182" s="27" t="s">
        <v>325</v>
      </c>
      <c r="R182" s="27" t="s">
        <v>326</v>
      </c>
      <c r="S182" s="27" t="s">
        <v>327</v>
      </c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</row>
    <row r="183" spans="1:50">
      <c r="A183" s="7" t="s">
        <v>66</v>
      </c>
      <c r="B183" s="5" t="s">
        <v>99</v>
      </c>
      <c r="C183" s="5" t="s">
        <v>16</v>
      </c>
      <c r="D183" s="5" t="s">
        <v>25</v>
      </c>
      <c r="E183" s="5" t="s">
        <v>43</v>
      </c>
      <c r="F183" s="27" t="s">
        <v>301</v>
      </c>
      <c r="G183" s="27" t="s">
        <v>302</v>
      </c>
      <c r="H183" s="27" t="s">
        <v>303</v>
      </c>
      <c r="I183" s="27" t="s">
        <v>304</v>
      </c>
      <c r="J183" s="27" t="s">
        <v>305</v>
      </c>
      <c r="K183" s="27" t="s">
        <v>328</v>
      </c>
      <c r="L183" s="27" t="s">
        <v>329</v>
      </c>
      <c r="M183" s="27" t="s">
        <v>330</v>
      </c>
      <c r="N183" s="27" t="s">
        <v>331</v>
      </c>
      <c r="O183" s="27" t="s">
        <v>332</v>
      </c>
      <c r="P183" s="27" t="s">
        <v>333</v>
      </c>
      <c r="Q183" s="27" t="s">
        <v>334</v>
      </c>
      <c r="R183" s="27" t="s">
        <v>335</v>
      </c>
      <c r="S183" s="27" t="s">
        <v>336</v>
      </c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</row>
    <row r="184" spans="1:50">
      <c r="A184" s="7" t="s">
        <v>154</v>
      </c>
      <c r="B184" s="5" t="s">
        <v>155</v>
      </c>
      <c r="C184" s="5" t="s">
        <v>156</v>
      </c>
      <c r="D184" s="5" t="s">
        <v>25</v>
      </c>
      <c r="E184" s="5" t="s">
        <v>43</v>
      </c>
      <c r="F184" s="27" t="s">
        <v>337</v>
      </c>
      <c r="G184" s="27" t="s">
        <v>338</v>
      </c>
      <c r="H184" s="27" t="s">
        <v>339</v>
      </c>
      <c r="I184" s="27" t="s">
        <v>340</v>
      </c>
      <c r="J184" s="27" t="s">
        <v>341</v>
      </c>
      <c r="K184" s="27" t="s">
        <v>342</v>
      </c>
      <c r="L184" s="27" t="s">
        <v>343</v>
      </c>
      <c r="M184" s="27" t="s">
        <v>344</v>
      </c>
      <c r="N184" s="27" t="s">
        <v>345</v>
      </c>
      <c r="O184" s="27" t="s">
        <v>346</v>
      </c>
      <c r="P184" s="27" t="s">
        <v>347</v>
      </c>
      <c r="Q184" s="27" t="s">
        <v>348</v>
      </c>
      <c r="R184" s="27" t="s">
        <v>349</v>
      </c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</row>
    <row r="191" spans="1:50">
      <c r="B191" s="7"/>
    </row>
    <row r="192" spans="1:50">
      <c r="B192" s="7"/>
    </row>
    <row r="193" spans="2:49">
      <c r="B193" s="7"/>
    </row>
    <row r="194" spans="2:49">
      <c r="B194" s="7"/>
    </row>
    <row r="195" spans="2:49">
      <c r="B195" s="7"/>
    </row>
    <row r="196" spans="2:49">
      <c r="B196" s="7"/>
    </row>
    <row r="197" spans="2:49">
      <c r="B197" s="7"/>
    </row>
    <row r="198" spans="2:49">
      <c r="B198" s="7"/>
    </row>
    <row r="199" spans="2:49">
      <c r="B199" s="7"/>
    </row>
    <row r="200" spans="2:49">
      <c r="B200" s="7"/>
    </row>
    <row r="201" spans="2:49">
      <c r="B201" s="7"/>
      <c r="C201" s="7"/>
      <c r="E201" s="7"/>
      <c r="F201" s="5"/>
      <c r="G201" s="7"/>
      <c r="I201" s="7"/>
      <c r="K201" s="7"/>
      <c r="M201" s="7"/>
      <c r="O201" s="7"/>
      <c r="Q201" s="7"/>
      <c r="S201" s="7"/>
      <c r="U201" s="7"/>
      <c r="W201" s="7"/>
      <c r="Y201" s="7"/>
      <c r="AA201" s="7"/>
      <c r="AC201" s="7"/>
      <c r="AE201" s="7"/>
      <c r="AG201" s="7"/>
      <c r="AI201" s="7"/>
      <c r="AK201" s="7"/>
      <c r="AM201" s="7"/>
      <c r="AO201" s="7"/>
      <c r="AQ201" s="7"/>
      <c r="AS201" s="7"/>
      <c r="AU201" s="7"/>
      <c r="AW201" s="7"/>
    </row>
    <row r="202" spans="2:49">
      <c r="B202" s="7"/>
      <c r="F202" s="5"/>
    </row>
    <row r="203" spans="2:49">
      <c r="B203" s="7"/>
      <c r="F203" s="5"/>
    </row>
    <row r="204" spans="2:49">
      <c r="B204" s="7"/>
      <c r="F204" s="5"/>
    </row>
    <row r="205" spans="2:49">
      <c r="B205" s="7"/>
      <c r="F205" s="5"/>
    </row>
    <row r="206" spans="2:49">
      <c r="B206" s="7"/>
      <c r="F206" s="5"/>
    </row>
    <row r="207" spans="2:49">
      <c r="B207" s="7"/>
      <c r="F207" s="5"/>
    </row>
    <row r="208" spans="2:49">
      <c r="B208" s="7"/>
      <c r="F208" s="5"/>
    </row>
    <row r="209" spans="2:6">
      <c r="B209" s="7"/>
      <c r="F209" s="5"/>
    </row>
    <row r="210" spans="2:6">
      <c r="B210" s="7"/>
      <c r="F210" s="5"/>
    </row>
    <row r="211" spans="2:6">
      <c r="B211" s="7"/>
      <c r="F211" s="5"/>
    </row>
    <row r="212" spans="2:6">
      <c r="B212" s="7"/>
      <c r="F212" s="5"/>
    </row>
    <row r="213" spans="2:6">
      <c r="B213" s="7"/>
      <c r="F213" s="5"/>
    </row>
    <row r="214" spans="2:6">
      <c r="B214" s="7"/>
      <c r="F214" s="5"/>
    </row>
    <row r="215" spans="2:6">
      <c r="B215" s="7"/>
      <c r="F215" s="5"/>
    </row>
    <row r="216" spans="2:6">
      <c r="B216" s="7"/>
      <c r="F216" s="5"/>
    </row>
    <row r="217" spans="2:6">
      <c r="B217" s="7"/>
      <c r="F217" s="5"/>
    </row>
    <row r="218" spans="2:6">
      <c r="B218" s="7"/>
      <c r="F218" s="5"/>
    </row>
    <row r="219" spans="2:6">
      <c r="B219" s="7"/>
      <c r="F219" s="5"/>
    </row>
    <row r="220" spans="2:6">
      <c r="B220" s="7"/>
      <c r="F220" s="5"/>
    </row>
    <row r="221" spans="2:6">
      <c r="B221" s="7"/>
      <c r="F221" s="5"/>
    </row>
    <row r="222" spans="2:6">
      <c r="B222" s="7"/>
      <c r="F222" s="5"/>
    </row>
    <row r="223" spans="2:6">
      <c r="B223" s="7"/>
      <c r="F223" s="5"/>
    </row>
    <row r="224" spans="2:6">
      <c r="B224" s="7"/>
      <c r="F224" s="5"/>
    </row>
    <row r="225" spans="2:6">
      <c r="B225" s="7"/>
      <c r="F225" s="5"/>
    </row>
    <row r="226" spans="2:6">
      <c r="B226" s="7"/>
      <c r="F226" s="5"/>
    </row>
    <row r="227" spans="2:6">
      <c r="B227" s="7"/>
      <c r="F227" s="5"/>
    </row>
    <row r="228" spans="2:6">
      <c r="B228" s="7"/>
      <c r="F228" s="5"/>
    </row>
    <row r="229" spans="2:6">
      <c r="B229" s="7"/>
      <c r="F229" s="5"/>
    </row>
    <row r="230" spans="2:6">
      <c r="B230" s="7"/>
      <c r="F230" s="5"/>
    </row>
    <row r="231" spans="2:6">
      <c r="B231" s="7"/>
      <c r="F231" s="5"/>
    </row>
    <row r="232" spans="2:6">
      <c r="B232" s="7"/>
    </row>
    <row r="233" spans="2:6">
      <c r="B233" s="7"/>
    </row>
    <row r="234" spans="2:6">
      <c r="B234" s="7"/>
    </row>
    <row r="235" spans="2:6">
      <c r="B235" s="7"/>
    </row>
    <row r="236" spans="2:6">
      <c r="B236" s="7"/>
    </row>
    <row r="237" spans="2:6">
      <c r="B237" s="7"/>
    </row>
    <row r="238" spans="2:6">
      <c r="B238" s="7"/>
    </row>
    <row r="239" spans="2:6">
      <c r="B239" s="7"/>
    </row>
    <row r="240" spans="2:6">
      <c r="B240" s="7"/>
    </row>
    <row r="241" spans="2:2">
      <c r="B241" s="7"/>
    </row>
    <row r="242" spans="2:2">
      <c r="B242" s="7"/>
    </row>
    <row r="243" spans="2:2">
      <c r="B243" s="7"/>
    </row>
    <row r="244" spans="2:2">
      <c r="B244" s="7"/>
    </row>
    <row r="245" spans="2:2">
      <c r="B245" s="7"/>
    </row>
    <row r="246" spans="2:2">
      <c r="B246" s="7"/>
    </row>
    <row r="247" spans="2:2">
      <c r="B247" s="7"/>
    </row>
    <row r="248" spans="2:2">
      <c r="B248" s="7"/>
    </row>
    <row r="249" spans="2:2">
      <c r="B249" s="7"/>
    </row>
    <row r="250" spans="2:2">
      <c r="B250" s="7"/>
    </row>
    <row r="251" spans="2:2">
      <c r="B251" s="7"/>
    </row>
    <row r="252" spans="2:2">
      <c r="B252" s="7"/>
    </row>
    <row r="253" spans="2:2">
      <c r="B253" s="7"/>
    </row>
    <row r="254" spans="2:2">
      <c r="B254" s="7"/>
    </row>
    <row r="255" spans="2:2">
      <c r="B255" s="7"/>
    </row>
    <row r="256" spans="2:2">
      <c r="B256" s="7"/>
    </row>
    <row r="257" spans="2:2">
      <c r="B257" s="7"/>
    </row>
    <row r="258" spans="2:2">
      <c r="B258" s="7"/>
    </row>
    <row r="259" spans="2:2">
      <c r="B259" s="7"/>
    </row>
    <row r="260" spans="2:2">
      <c r="B260" s="7"/>
    </row>
    <row r="261" spans="2:2">
      <c r="B261" s="7"/>
    </row>
    <row r="262" spans="2:2">
      <c r="B262" s="7"/>
    </row>
    <row r="263" spans="2:2">
      <c r="B263" s="7"/>
    </row>
    <row r="264" spans="2:2">
      <c r="B264" s="7"/>
    </row>
    <row r="265" spans="2:2">
      <c r="B265" s="7"/>
    </row>
    <row r="266" spans="2:2">
      <c r="B266" s="7"/>
    </row>
    <row r="267" spans="2:2">
      <c r="B267" s="7"/>
    </row>
    <row r="268" spans="2:2">
      <c r="B268" s="7"/>
    </row>
    <row r="269" spans="2:2">
      <c r="B269" s="7"/>
    </row>
    <row r="270" spans="2:2">
      <c r="B270" s="7"/>
    </row>
    <row r="271" spans="2:2">
      <c r="B271" s="7"/>
    </row>
    <row r="272" spans="2:2">
      <c r="B272" s="7"/>
    </row>
    <row r="273" spans="2:2">
      <c r="B273" s="7"/>
    </row>
    <row r="274" spans="2:2">
      <c r="B274" s="7"/>
    </row>
    <row r="275" spans="2:2">
      <c r="B275" s="7"/>
    </row>
    <row r="276" spans="2:2">
      <c r="B276" s="7"/>
    </row>
    <row r="277" spans="2:2">
      <c r="B277" s="7"/>
    </row>
    <row r="278" spans="2:2">
      <c r="B278" s="7"/>
    </row>
    <row r="279" spans="2:2">
      <c r="B279" s="7"/>
    </row>
    <row r="280" spans="2:2">
      <c r="B280" s="7"/>
    </row>
    <row r="281" spans="2:2">
      <c r="B281" s="7"/>
    </row>
    <row r="282" spans="2:2">
      <c r="B282" s="7"/>
    </row>
    <row r="283" spans="2:2">
      <c r="B283" s="7"/>
    </row>
    <row r="284" spans="2:2">
      <c r="B284" s="7"/>
    </row>
    <row r="285" spans="2:2">
      <c r="B285" s="7"/>
    </row>
    <row r="286" spans="2:2">
      <c r="B286" s="7"/>
    </row>
    <row r="287" spans="2:2">
      <c r="B287" s="7"/>
    </row>
    <row r="288" spans="2:2">
      <c r="B288" s="7"/>
    </row>
    <row r="289" spans="2:2">
      <c r="B289" s="7"/>
    </row>
    <row r="290" spans="2:2">
      <c r="B290" s="7"/>
    </row>
    <row r="291" spans="2:2">
      <c r="B291" s="7"/>
    </row>
    <row r="292" spans="2:2">
      <c r="B292" s="7"/>
    </row>
    <row r="293" spans="2:2">
      <c r="B293" s="7"/>
    </row>
    <row r="294" spans="2:2">
      <c r="B294" s="7"/>
    </row>
    <row r="295" spans="2:2">
      <c r="B295" s="7"/>
    </row>
    <row r="296" spans="2:2">
      <c r="B296" s="7"/>
    </row>
    <row r="297" spans="2:2">
      <c r="B297" s="7"/>
    </row>
    <row r="298" spans="2:2">
      <c r="B298" s="7"/>
    </row>
  </sheetData>
  <sortState xmlns:xlrd2="http://schemas.microsoft.com/office/spreadsheetml/2017/richdata2" ref="C13:C54">
    <sortCondition ref="C13:C54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DD1A-2654-4E8C-B832-8AD33E897042}">
  <sheetPr codeName="Sheet1">
    <tabColor theme="4" tint="0.59999389629810485"/>
  </sheetPr>
  <dimension ref="A1:AE455"/>
  <sheetViews>
    <sheetView topLeftCell="A96" workbookViewId="0"/>
  </sheetViews>
  <sheetFormatPr defaultColWidth="9.140625" defaultRowHeight="15" outlineLevelRow="1"/>
  <cols>
    <col min="1" max="1" width="28" style="16" customWidth="1"/>
    <col min="2" max="2" width="40.85546875" style="16" customWidth="1"/>
    <col min="3" max="3" width="44.7109375" style="22" customWidth="1"/>
    <col min="4" max="4" width="9.7109375" style="22" customWidth="1"/>
    <col min="5" max="5" width="49.7109375" style="22" customWidth="1"/>
    <col min="6" max="6" width="26.85546875" style="22" customWidth="1"/>
    <col min="7" max="7" width="19.28515625" style="16" customWidth="1"/>
    <col min="8" max="8" width="48.42578125" style="25" customWidth="1"/>
    <col min="9" max="9" width="16" style="25" bestFit="1" customWidth="1"/>
    <col min="10" max="10" width="33.85546875" style="25" bestFit="1" customWidth="1"/>
    <col min="11" max="11" width="46.28515625" style="25" customWidth="1"/>
    <col min="12" max="12" width="58.5703125" style="25" customWidth="1"/>
    <col min="13" max="13" width="20.140625" style="25" bestFit="1" customWidth="1"/>
    <col min="14" max="14" width="9.7109375" style="25" customWidth="1"/>
    <col min="15" max="15" width="9.7109375" style="25" bestFit="1" customWidth="1"/>
    <col min="16" max="16" width="68.42578125" style="25" bestFit="1" customWidth="1"/>
    <col min="17" max="17" width="3.28515625" style="25" bestFit="1" customWidth="1"/>
    <col min="18" max="18" width="20.5703125" style="25" bestFit="1" customWidth="1"/>
    <col min="19" max="19" width="8.140625" style="25" bestFit="1" customWidth="1"/>
    <col min="20" max="20" width="20.7109375" style="25" bestFit="1" customWidth="1"/>
    <col min="21" max="21" width="59.140625" style="25" customWidth="1"/>
    <col min="22" max="31" width="255.7109375" style="25" bestFit="1" customWidth="1"/>
    <col min="32" max="32" width="8.28515625" style="25" customWidth="1"/>
    <col min="33" max="16383" width="9.140625" style="25" customWidth="1"/>
    <col min="16384" max="16384" width="9.140625" style="25"/>
  </cols>
  <sheetData>
    <row r="1" spans="1:20">
      <c r="K1" s="29"/>
    </row>
    <row r="2" spans="1:20">
      <c r="K2" s="29"/>
    </row>
    <row r="3" spans="1:20">
      <c r="A3" s="7" t="s">
        <v>1101</v>
      </c>
      <c r="B3" s="17" t="str">
        <f>retThisWbName()</f>
        <v>DB.xlsm</v>
      </c>
      <c r="C3" s="5" t="s">
        <v>446</v>
      </c>
      <c r="D3" s="5" t="s">
        <v>0</v>
      </c>
      <c r="E3" s="5" t="s">
        <v>3</v>
      </c>
      <c r="G3" s="6"/>
      <c r="K3" s="29"/>
    </row>
    <row r="4" spans="1:20">
      <c r="A4" s="24" t="s">
        <v>19</v>
      </c>
      <c r="B4" s="4" t="s">
        <v>133</v>
      </c>
      <c r="C4" s="2" t="s">
        <v>350</v>
      </c>
      <c r="D4" s="4"/>
      <c r="E4" s="5"/>
      <c r="G4" s="6"/>
      <c r="K4" s="29"/>
    </row>
    <row r="5" spans="1:20">
      <c r="A5" s="24" t="s">
        <v>19</v>
      </c>
      <c r="B5" s="7" t="s">
        <v>786</v>
      </c>
      <c r="C5" s="15" t="str">
        <f>_xlfn.TEXTJOIN(",",TRUE,C6:C23)</f>
        <v>SQL_PRESHT-ANLG00,SQL_PRESHT-ANLG03,SQL_PRESHT-ANLG</v>
      </c>
      <c r="F5" s="7"/>
      <c r="G5" s="6"/>
      <c r="I5" s="21"/>
      <c r="J5" s="21"/>
      <c r="K5" s="29"/>
      <c r="M5" s="21"/>
      <c r="O5" s="21"/>
      <c r="P5" s="21"/>
      <c r="Q5" s="21"/>
      <c r="R5" s="21"/>
    </row>
    <row r="6" spans="1:20">
      <c r="A6" s="24" t="s">
        <v>19</v>
      </c>
      <c r="B6" s="7"/>
      <c r="C6" s="30" t="s">
        <v>820</v>
      </c>
      <c r="D6" s="30" t="s">
        <v>820</v>
      </c>
      <c r="F6" s="5"/>
      <c r="G6" s="6"/>
      <c r="I6" s="21"/>
      <c r="J6" s="21"/>
      <c r="K6" s="29"/>
      <c r="M6" s="21"/>
      <c r="O6" s="21"/>
      <c r="P6" s="21"/>
      <c r="Q6" s="21"/>
      <c r="R6" s="21"/>
      <c r="S6" s="21"/>
      <c r="T6" s="21"/>
    </row>
    <row r="7" spans="1:20">
      <c r="A7" s="24" t="s">
        <v>19</v>
      </c>
      <c r="B7" s="7"/>
      <c r="C7" s="30" t="s">
        <v>821</v>
      </c>
      <c r="D7" s="30" t="s">
        <v>821</v>
      </c>
      <c r="F7" s="5"/>
      <c r="G7" s="6"/>
      <c r="I7" s="21"/>
      <c r="J7" s="21"/>
      <c r="K7" s="29"/>
      <c r="M7" s="21"/>
      <c r="O7" s="21"/>
      <c r="P7" s="21"/>
      <c r="Q7" s="21"/>
      <c r="R7" s="21"/>
      <c r="S7" s="21"/>
      <c r="T7" s="21"/>
    </row>
    <row r="8" spans="1:20">
      <c r="A8" s="24" t="s">
        <v>19</v>
      </c>
      <c r="B8" s="7"/>
      <c r="C8" s="30" t="s">
        <v>822</v>
      </c>
      <c r="D8" s="30" t="s">
        <v>822</v>
      </c>
      <c r="F8" s="5"/>
      <c r="G8" s="6"/>
      <c r="I8" s="21"/>
      <c r="J8" s="21"/>
      <c r="K8" s="29"/>
      <c r="M8" s="21"/>
      <c r="O8" s="21"/>
      <c r="P8" s="21"/>
      <c r="Q8" s="21"/>
      <c r="R8" s="21"/>
      <c r="S8" s="21"/>
      <c r="T8" s="21"/>
    </row>
    <row r="9" spans="1:20">
      <c r="A9" s="24" t="s">
        <v>19</v>
      </c>
      <c r="B9" s="7"/>
      <c r="C9" s="30"/>
      <c r="D9" s="30" t="s">
        <v>823</v>
      </c>
      <c r="F9" s="5"/>
      <c r="G9" s="6"/>
      <c r="K9" s="29"/>
    </row>
    <row r="10" spans="1:20">
      <c r="A10" s="24" t="s">
        <v>19</v>
      </c>
      <c r="B10" s="7"/>
      <c r="C10" s="30"/>
      <c r="D10" s="30" t="s">
        <v>824</v>
      </c>
      <c r="E10" s="22" t="s">
        <v>656</v>
      </c>
      <c r="F10" s="5"/>
      <c r="G10" s="6"/>
      <c r="K10" s="29"/>
    </row>
    <row r="11" spans="1:20">
      <c r="A11" s="24" t="s">
        <v>19</v>
      </c>
      <c r="B11" s="7"/>
      <c r="C11" s="30"/>
      <c r="D11" s="30" t="s">
        <v>825</v>
      </c>
      <c r="F11" s="5"/>
      <c r="G11" s="6"/>
      <c r="K11" s="29"/>
    </row>
    <row r="12" spans="1:20">
      <c r="A12" s="24" t="s">
        <v>19</v>
      </c>
      <c r="B12" s="7"/>
      <c r="C12" s="30"/>
      <c r="D12" s="30" t="s">
        <v>826</v>
      </c>
      <c r="F12" s="5"/>
      <c r="G12" s="6"/>
      <c r="K12" s="29"/>
    </row>
    <row r="13" spans="1:20">
      <c r="A13" s="24" t="s">
        <v>19</v>
      </c>
      <c r="B13" s="7"/>
      <c r="C13" s="30"/>
      <c r="D13" s="30" t="s">
        <v>827</v>
      </c>
      <c r="F13" s="5"/>
      <c r="G13" s="6"/>
      <c r="K13" s="29"/>
    </row>
    <row r="14" spans="1:20">
      <c r="A14" s="24" t="s">
        <v>19</v>
      </c>
      <c r="B14" s="7"/>
      <c r="C14" s="30"/>
      <c r="D14" s="30" t="s">
        <v>828</v>
      </c>
      <c r="F14" s="5"/>
      <c r="G14" s="6"/>
      <c r="K14" s="29"/>
    </row>
    <row r="15" spans="1:20">
      <c r="A15" s="24" t="s">
        <v>19</v>
      </c>
      <c r="B15" s="7"/>
      <c r="D15" s="22" t="s">
        <v>829</v>
      </c>
      <c r="E15" s="22" t="s">
        <v>747</v>
      </c>
      <c r="F15" s="5"/>
      <c r="G15" s="6"/>
      <c r="K15" s="29"/>
    </row>
    <row r="16" spans="1:20">
      <c r="A16" s="24" t="s">
        <v>19</v>
      </c>
      <c r="B16" s="7"/>
      <c r="D16" s="22" t="s">
        <v>830</v>
      </c>
      <c r="F16" s="5"/>
      <c r="G16" s="6"/>
      <c r="K16" s="29"/>
    </row>
    <row r="17" spans="1:11">
      <c r="A17" s="24" t="s">
        <v>19</v>
      </c>
      <c r="B17" s="7"/>
      <c r="D17" s="22" t="s">
        <v>831</v>
      </c>
      <c r="F17" s="5"/>
      <c r="G17" s="6"/>
      <c r="K17" s="29"/>
    </row>
    <row r="18" spans="1:11">
      <c r="A18" s="24" t="s">
        <v>19</v>
      </c>
      <c r="B18" s="7"/>
      <c r="D18" s="22" t="s">
        <v>832</v>
      </c>
      <c r="F18" s="5"/>
      <c r="G18" s="6"/>
      <c r="K18" s="29"/>
    </row>
    <row r="19" spans="1:11">
      <c r="A19" s="24" t="s">
        <v>19</v>
      </c>
      <c r="B19" s="7"/>
      <c r="C19" s="7"/>
      <c r="D19" s="7"/>
      <c r="F19" s="5"/>
      <c r="G19" s="6"/>
      <c r="K19" s="29"/>
    </row>
    <row r="20" spans="1:11">
      <c r="A20" s="24" t="s">
        <v>19</v>
      </c>
      <c r="B20" s="7"/>
      <c r="C20" s="30"/>
      <c r="D20" s="30" t="s">
        <v>688</v>
      </c>
      <c r="F20" s="5"/>
      <c r="G20" s="6"/>
      <c r="K20" s="29"/>
    </row>
    <row r="21" spans="1:11">
      <c r="A21" s="24" t="s">
        <v>19</v>
      </c>
      <c r="B21" s="7"/>
      <c r="C21" s="30"/>
      <c r="D21" s="30" t="s">
        <v>833</v>
      </c>
      <c r="F21" s="5"/>
      <c r="G21" s="6"/>
      <c r="K21" s="29"/>
    </row>
    <row r="22" spans="1:11">
      <c r="A22" s="24" t="s">
        <v>19</v>
      </c>
      <c r="B22" s="7"/>
      <c r="C22" s="30"/>
      <c r="D22" s="30"/>
      <c r="F22" s="5"/>
      <c r="G22" s="6"/>
      <c r="K22" s="29"/>
    </row>
    <row r="23" spans="1:11">
      <c r="A23" s="24" t="s">
        <v>19</v>
      </c>
      <c r="C23" s="31"/>
      <c r="D23" s="30" t="s">
        <v>825</v>
      </c>
      <c r="F23" s="5"/>
      <c r="G23" s="6"/>
      <c r="K23" s="29"/>
    </row>
    <row r="24" spans="1:11">
      <c r="A24" s="24" t="s">
        <v>19</v>
      </c>
      <c r="C24" s="32"/>
      <c r="F24" s="5"/>
      <c r="G24" s="6"/>
      <c r="K24" s="29"/>
    </row>
    <row r="25" spans="1:11">
      <c r="A25" s="24" t="s">
        <v>19</v>
      </c>
      <c r="B25" s="7" t="s">
        <v>1097</v>
      </c>
      <c r="C25" s="11">
        <v>25</v>
      </c>
      <c r="F25" s="5"/>
      <c r="G25" s="6"/>
      <c r="K25" s="29"/>
    </row>
    <row r="26" spans="1:11">
      <c r="A26" s="24" t="s">
        <v>19</v>
      </c>
      <c r="B26" s="7" t="s">
        <v>1098</v>
      </c>
      <c r="C26" s="11">
        <v>1</v>
      </c>
      <c r="E26" s="7"/>
      <c r="F26" s="5"/>
      <c r="G26" s="6"/>
      <c r="K26" s="29"/>
    </row>
    <row r="27" spans="1:11">
      <c r="A27" s="24" t="s">
        <v>19</v>
      </c>
      <c r="B27" s="7" t="s">
        <v>1099</v>
      </c>
      <c r="C27" s="11">
        <v>1</v>
      </c>
      <c r="E27" s="7"/>
      <c r="F27" s="5"/>
      <c r="G27" s="6"/>
      <c r="K27" s="29"/>
    </row>
    <row r="28" spans="1:11">
      <c r="A28" s="24" t="s">
        <v>19</v>
      </c>
      <c r="B28" s="7" t="s">
        <v>1100</v>
      </c>
      <c r="C28" s="32">
        <v>1</v>
      </c>
      <c r="E28" s="33"/>
      <c r="F28" s="5"/>
      <c r="G28" s="6"/>
      <c r="K28" s="29"/>
    </row>
    <row r="29" spans="1:11">
      <c r="A29" s="24"/>
      <c r="C29" s="32"/>
      <c r="E29" s="16"/>
      <c r="F29" s="5"/>
      <c r="G29" s="6"/>
      <c r="K29" s="29"/>
    </row>
    <row r="30" spans="1:11">
      <c r="A30" s="24"/>
      <c r="C30" s="32"/>
      <c r="E30" s="7"/>
      <c r="F30" s="5"/>
      <c r="G30" s="6"/>
      <c r="K30" s="29"/>
    </row>
    <row r="31" spans="1:11">
      <c r="A31" s="24"/>
      <c r="C31" s="32"/>
      <c r="F31" s="5"/>
      <c r="G31" s="6"/>
      <c r="K31" s="29"/>
    </row>
    <row r="32" spans="1:11">
      <c r="F32" s="5"/>
      <c r="G32" s="6"/>
      <c r="K32" s="29"/>
    </row>
    <row r="33" spans="1:11">
      <c r="F33" s="5"/>
      <c r="G33" s="6"/>
      <c r="K33" s="29"/>
    </row>
    <row r="34" spans="1:11">
      <c r="K34" s="29"/>
    </row>
    <row r="35" spans="1:11">
      <c r="A35" s="7" t="s">
        <v>1102</v>
      </c>
      <c r="B35" s="17" t="str">
        <f>retThisWbName()</f>
        <v>DB.xlsm</v>
      </c>
      <c r="C35" s="5" t="s">
        <v>446</v>
      </c>
      <c r="D35" s="22" t="s">
        <v>0</v>
      </c>
      <c r="E35" s="22" t="s">
        <v>182</v>
      </c>
      <c r="K35" s="29"/>
    </row>
    <row r="36" spans="1:11">
      <c r="A36" s="7" t="s">
        <v>1103</v>
      </c>
      <c r="B36" s="17" t="str">
        <f>retThisWbName()</f>
        <v>DB.xlsm</v>
      </c>
      <c r="C36" s="5" t="s">
        <v>446</v>
      </c>
      <c r="D36" s="5" t="s">
        <v>0</v>
      </c>
      <c r="E36" s="5" t="s">
        <v>3</v>
      </c>
      <c r="K36" s="29"/>
    </row>
    <row r="37" spans="1:11">
      <c r="A37" s="24" t="s">
        <v>19</v>
      </c>
      <c r="B37" s="2" t="s">
        <v>235</v>
      </c>
      <c r="C37" s="2" t="s">
        <v>234</v>
      </c>
      <c r="D37" s="4"/>
      <c r="E37" s="5"/>
      <c r="K37" s="29"/>
    </row>
    <row r="38" spans="1:11">
      <c r="K38" s="29"/>
    </row>
    <row r="39" spans="1:11">
      <c r="B39" s="13" t="s">
        <v>133</v>
      </c>
      <c r="C39" s="14" t="s">
        <v>351</v>
      </c>
      <c r="D39" s="6"/>
      <c r="K39" s="29"/>
    </row>
    <row r="40" spans="1:11">
      <c r="A40" s="16" t="s">
        <v>565</v>
      </c>
      <c r="B40" s="13"/>
      <c r="C40" s="14"/>
      <c r="D40" s="6"/>
      <c r="K40" s="29"/>
    </row>
    <row r="41" spans="1:11">
      <c r="A41" s="26" t="s">
        <v>19</v>
      </c>
      <c r="B41" s="7" t="s">
        <v>839</v>
      </c>
      <c r="C41" s="22" t="s">
        <v>649</v>
      </c>
      <c r="K41" s="29"/>
    </row>
    <row r="42" spans="1:11" hidden="1" outlineLevel="1">
      <c r="A42" s="26" t="s">
        <v>19</v>
      </c>
      <c r="B42" s="7" t="s">
        <v>840</v>
      </c>
      <c r="K42" s="29"/>
    </row>
    <row r="43" spans="1:11" hidden="1" outlineLevel="1">
      <c r="B43" s="7" t="s">
        <v>841</v>
      </c>
      <c r="C43" s="25"/>
      <c r="K43" s="29"/>
    </row>
    <row r="44" spans="1:11" hidden="1" outlineLevel="1">
      <c r="A44" s="26" t="s">
        <v>19</v>
      </c>
      <c r="B44" s="7" t="s">
        <v>842</v>
      </c>
      <c r="C44" s="22" t="str">
        <f>_xlfn.TEXTJOIN(",",TRUE,D44:XFD44)</f>
        <v>[DEVICE],[COMMENT1] &amp;' ' &amp; [COMMENT2] AS [COMMENT], [CATEGORY],[FULL_ADR]</v>
      </c>
      <c r="D44" s="22" t="s">
        <v>200</v>
      </c>
      <c r="E44" s="22" t="s">
        <v>201</v>
      </c>
      <c r="F44" s="22" t="s">
        <v>202</v>
      </c>
      <c r="G44" s="33" t="s">
        <v>518</v>
      </c>
      <c r="K44" s="29"/>
    </row>
    <row r="45" spans="1:11" hidden="1" outlineLevel="1">
      <c r="A45" s="26" t="s">
        <v>19</v>
      </c>
      <c r="B45" s="7" t="s">
        <v>843</v>
      </c>
      <c r="C45" s="22" t="s">
        <v>352</v>
      </c>
      <c r="K45" s="29"/>
    </row>
    <row r="46" spans="1:11" hidden="1" outlineLevel="1">
      <c r="A46" s="26"/>
      <c r="B46" s="34" t="s">
        <v>844</v>
      </c>
      <c r="C46" s="22" t="str">
        <f>_xlfn.TEXTJOIN(",",TRUE,D46:XFD46)</f>
        <v>[DEVICE],[COMMENT1] &amp;' ' &amp; [COMMENT2] ,'',[FULL_ADR]</v>
      </c>
      <c r="D46" s="22" t="s">
        <v>200</v>
      </c>
      <c r="E46" s="22" t="s">
        <v>652</v>
      </c>
      <c r="F46" s="35" t="s">
        <v>204</v>
      </c>
      <c r="G46" s="33" t="s">
        <v>518</v>
      </c>
      <c r="K46" s="29"/>
    </row>
    <row r="47" spans="1:11" hidden="1" outlineLevel="1">
      <c r="A47" s="26"/>
      <c r="B47" s="7" t="s">
        <v>845</v>
      </c>
      <c r="C47" s="22" t="s">
        <v>353</v>
      </c>
      <c r="K47" s="29"/>
    </row>
    <row r="48" spans="1:11" hidden="1" outlineLevel="1">
      <c r="A48" s="26"/>
      <c r="B48" s="34" t="s">
        <v>846</v>
      </c>
      <c r="C48" s="22" t="str">
        <f>_xlfn.TEXTJOIN(",",TRUE,D48:XFD48)</f>
        <v>[DEVICE],[COMMENT], [CATEGORY],[FULL_ADR]</v>
      </c>
      <c r="D48" s="22" t="s">
        <v>200</v>
      </c>
      <c r="E48" s="22" t="s">
        <v>203</v>
      </c>
      <c r="F48" s="22" t="s">
        <v>202</v>
      </c>
      <c r="G48" s="33" t="s">
        <v>518</v>
      </c>
      <c r="K48" s="29"/>
    </row>
    <row r="49" spans="1:11" hidden="1" outlineLevel="1">
      <c r="A49" s="26"/>
      <c r="B49" s="7" t="s">
        <v>847</v>
      </c>
      <c r="C49" s="22" t="s">
        <v>212</v>
      </c>
      <c r="K49" s="29"/>
    </row>
    <row r="50" spans="1:11" hidden="1" outlineLevel="1">
      <c r="A50" s="26"/>
      <c r="B50" s="34" t="s">
        <v>848</v>
      </c>
      <c r="C50" s="22" t="str">
        <f>_xlfn.TEXTJOIN(",",TRUE,D50:XFD50)</f>
        <v>[DEVICE],[COMMENT],'',[FULL_ADR]</v>
      </c>
      <c r="D50" s="22" t="s">
        <v>200</v>
      </c>
      <c r="E50" s="22" t="s">
        <v>203</v>
      </c>
      <c r="F50" s="35" t="s">
        <v>204</v>
      </c>
      <c r="G50" s="33" t="s">
        <v>518</v>
      </c>
      <c r="K50" s="29"/>
    </row>
    <row r="51" spans="1:11" hidden="1" outlineLevel="1">
      <c r="A51" s="26"/>
      <c r="B51" s="7" t="s">
        <v>849</v>
      </c>
      <c r="C51" s="22" t="s">
        <v>213</v>
      </c>
      <c r="K51" s="29"/>
    </row>
    <row r="52" spans="1:11" hidden="1" outlineLevel="1">
      <c r="A52" s="26"/>
      <c r="B52" s="34" t="s">
        <v>850</v>
      </c>
      <c r="C52" s="22" t="str">
        <f>_xlfn.TEXTJOIN(",",TRUE,D52:XFD52)</f>
        <v>[DEVICE],[COMMENT1] &amp;' ' &amp; [COMMENT2]  &amp;' ' &amp; [COMMENT3],[CATEGORY],[FULL_ADR]</v>
      </c>
      <c r="D52" s="22" t="s">
        <v>200</v>
      </c>
      <c r="E52" s="22" t="s">
        <v>650</v>
      </c>
      <c r="F52" s="22" t="s">
        <v>205</v>
      </c>
      <c r="G52" s="33" t="s">
        <v>518</v>
      </c>
      <c r="K52" s="29"/>
    </row>
    <row r="53" spans="1:11" hidden="1" outlineLevel="1">
      <c r="A53" s="26"/>
      <c r="B53" s="7" t="s">
        <v>851</v>
      </c>
      <c r="C53" s="22" t="s">
        <v>434</v>
      </c>
      <c r="K53" s="29"/>
    </row>
    <row r="54" spans="1:11" hidden="1" outlineLevel="1">
      <c r="A54" s="26"/>
      <c r="B54" s="34" t="s">
        <v>852</v>
      </c>
      <c r="C54" s="22" t="str">
        <f>_xlfn.TEXTJOIN(",",TRUE,D54:XFD54)</f>
        <v>[DEVICE],[COMMENT1] &amp;' ' &amp; [COMMENT2]  &amp;' ' &amp; [COMMENT3],'',[FULL_ADR]</v>
      </c>
      <c r="D54" s="22" t="s">
        <v>200</v>
      </c>
      <c r="E54" s="22" t="s">
        <v>650</v>
      </c>
      <c r="F54" s="35" t="s">
        <v>204</v>
      </c>
      <c r="G54" s="33" t="s">
        <v>518</v>
      </c>
      <c r="K54" s="29"/>
    </row>
    <row r="55" spans="1:11" hidden="1" outlineLevel="1">
      <c r="A55" s="26"/>
      <c r="B55" s="7" t="s">
        <v>853</v>
      </c>
      <c r="C55" s="22" t="s">
        <v>436</v>
      </c>
      <c r="K55" s="29"/>
    </row>
    <row r="56" spans="1:11" hidden="1" outlineLevel="1">
      <c r="A56" s="26"/>
      <c r="B56" s="34" t="s">
        <v>854</v>
      </c>
      <c r="C56" s="22" t="str">
        <f>_xlfn.TEXTJOIN(",",TRUE,D56:XFD56)</f>
        <v>[DEVICE],[COMMENT1] &amp;' ' &amp; [COMMENT2]  &amp;' ' &amp; [COMMENT3],[CATEGORY],[FULL_ADR]</v>
      </c>
      <c r="D56" s="22" t="s">
        <v>200</v>
      </c>
      <c r="E56" s="22" t="s">
        <v>650</v>
      </c>
      <c r="F56" s="22" t="s">
        <v>205</v>
      </c>
      <c r="G56" s="33" t="s">
        <v>518</v>
      </c>
      <c r="K56" s="29"/>
    </row>
    <row r="57" spans="1:11" hidden="1" outlineLevel="1">
      <c r="A57" s="26"/>
      <c r="B57" s="7" t="s">
        <v>855</v>
      </c>
      <c r="C57" s="22" t="s">
        <v>440</v>
      </c>
      <c r="K57" s="29"/>
    </row>
    <row r="58" spans="1:11" hidden="1" outlineLevel="1">
      <c r="A58" s="26"/>
      <c r="B58" s="34" t="s">
        <v>856</v>
      </c>
      <c r="C58" s="22" t="str">
        <f>_xlfn.TEXTJOIN(",",TRUE,D58:XFD58)</f>
        <v>[DEVICE],[COMMENT1] &amp;' ' &amp; [COMMENT2]  &amp;' ' &amp; [COMMENT3] ,'',[FULL_ADR]</v>
      </c>
      <c r="D58" s="22" t="s">
        <v>200</v>
      </c>
      <c r="E58" s="22" t="s">
        <v>651</v>
      </c>
      <c r="F58" s="35" t="s">
        <v>204</v>
      </c>
      <c r="G58" s="33" t="s">
        <v>518</v>
      </c>
      <c r="K58" s="29"/>
    </row>
    <row r="59" spans="1:11" hidden="1" outlineLevel="1">
      <c r="A59" s="26"/>
      <c r="B59" s="7" t="s">
        <v>857</v>
      </c>
      <c r="C59" s="22" t="s">
        <v>438</v>
      </c>
      <c r="K59" s="29"/>
    </row>
    <row r="60" spans="1:11" hidden="1" outlineLevel="1">
      <c r="A60" s="26"/>
      <c r="B60" s="34" t="s">
        <v>858</v>
      </c>
      <c r="C60" s="22" t="str">
        <f>_xlfn.TEXTJOIN(",",TRUE,D60:XFD60)</f>
        <v>[DEVICE],[COMMENT],'',[FULL_ADR]</v>
      </c>
      <c r="D60" s="22" t="s">
        <v>200</v>
      </c>
      <c r="E60" s="22" t="s">
        <v>203</v>
      </c>
      <c r="F60" s="35" t="s">
        <v>204</v>
      </c>
      <c r="G60" s="33" t="s">
        <v>518</v>
      </c>
      <c r="K60" s="29"/>
    </row>
    <row r="61" spans="1:11" hidden="1" outlineLevel="1">
      <c r="A61" s="26"/>
      <c r="B61" s="7" t="s">
        <v>859</v>
      </c>
      <c r="C61" s="22" t="s">
        <v>219</v>
      </c>
      <c r="K61" s="29"/>
    </row>
    <row r="62" spans="1:11" hidden="1" outlineLevel="1">
      <c r="A62" s="26"/>
      <c r="B62" s="34" t="s">
        <v>860</v>
      </c>
      <c r="C62" s="22" t="str">
        <f>_xlfn.TEXTJOIN(",",TRUE,D62:XFD62)</f>
        <v>[DEVICE],[COMMENT],'',[FULL_ADR]</v>
      </c>
      <c r="D62" s="22" t="s">
        <v>200</v>
      </c>
      <c r="E62" s="22" t="s">
        <v>203</v>
      </c>
      <c r="F62" s="35" t="s">
        <v>204</v>
      </c>
      <c r="G62" s="33" t="s">
        <v>518</v>
      </c>
      <c r="K62" s="29"/>
    </row>
    <row r="63" spans="1:11" hidden="1" outlineLevel="1">
      <c r="A63" s="26"/>
      <c r="B63" s="7" t="s">
        <v>861</v>
      </c>
      <c r="C63" s="22" t="s">
        <v>220</v>
      </c>
      <c r="K63" s="29"/>
    </row>
    <row r="64" spans="1:11" hidden="1" outlineLevel="1">
      <c r="A64" s="26"/>
      <c r="B64" s="34" t="s">
        <v>862</v>
      </c>
      <c r="C64" s="22" t="str">
        <f>_xlfn.TEXTJOIN(",",TRUE,D64:XFD64)</f>
        <v>[DEVICE],[COMMENT],'',[FULL_ADR]</v>
      </c>
      <c r="D64" s="22" t="s">
        <v>200</v>
      </c>
      <c r="E64" s="22" t="s">
        <v>203</v>
      </c>
      <c r="F64" s="35" t="s">
        <v>204</v>
      </c>
      <c r="G64" s="33" t="s">
        <v>518</v>
      </c>
      <c r="K64" s="29"/>
    </row>
    <row r="65" spans="1:11" hidden="1" outlineLevel="1">
      <c r="A65" s="26"/>
      <c r="B65" s="7" t="s">
        <v>863</v>
      </c>
      <c r="C65" s="22" t="s">
        <v>221</v>
      </c>
      <c r="K65" s="29"/>
    </row>
    <row r="66" spans="1:11" hidden="1" outlineLevel="1">
      <c r="A66" s="26"/>
      <c r="B66" s="34" t="s">
        <v>864</v>
      </c>
      <c r="C66" s="22" t="str">
        <f>_xlfn.TEXTJOIN(",",TRUE,D66:XFD66)</f>
        <v>[DEVICE],[COMMENT], [CATEGORY],[FULL_ADR]</v>
      </c>
      <c r="D66" s="22" t="s">
        <v>200</v>
      </c>
      <c r="E66" s="22" t="s">
        <v>203</v>
      </c>
      <c r="F66" s="22" t="s">
        <v>202</v>
      </c>
      <c r="G66" s="33" t="s">
        <v>518</v>
      </c>
      <c r="K66" s="29"/>
    </row>
    <row r="67" spans="1:11" hidden="1" outlineLevel="1">
      <c r="A67" s="26"/>
      <c r="B67" s="7" t="s">
        <v>865</v>
      </c>
      <c r="C67" s="22" t="s">
        <v>365</v>
      </c>
      <c r="K67" s="29"/>
    </row>
    <row r="68" spans="1:11" hidden="1" outlineLevel="1">
      <c r="A68" s="26"/>
      <c r="B68" s="34" t="s">
        <v>866</v>
      </c>
      <c r="C68" s="22" t="str">
        <f>_xlfn.TEXTJOIN(",",TRUE,D68:XFD68)</f>
        <v>[DEVICE],[COMMENT], [CATEGORY],[FULL_ADR]</v>
      </c>
      <c r="D68" s="22" t="s">
        <v>200</v>
      </c>
      <c r="E68" s="22" t="s">
        <v>203</v>
      </c>
      <c r="F68" s="22" t="s">
        <v>202</v>
      </c>
      <c r="G68" s="33" t="s">
        <v>518</v>
      </c>
      <c r="K68" s="29"/>
    </row>
    <row r="69" spans="1:11" hidden="1" outlineLevel="1">
      <c r="A69" s="26"/>
      <c r="B69" s="7" t="s">
        <v>867</v>
      </c>
      <c r="C69" s="22" t="s">
        <v>379</v>
      </c>
      <c r="K69" s="29"/>
    </row>
    <row r="70" spans="1:11" hidden="1" outlineLevel="1">
      <c r="A70" s="26"/>
      <c r="B70" s="34" t="s">
        <v>868</v>
      </c>
      <c r="C70" s="22" t="str">
        <f>_xlfn.TEXTJOIN(",",TRUE,D70:XFD70)</f>
        <v>[DEVICE],[COMMENT], [CATEGORY],[FULL_ADR]</v>
      </c>
      <c r="D70" s="22" t="s">
        <v>200</v>
      </c>
      <c r="E70" s="22" t="s">
        <v>203</v>
      </c>
      <c r="F70" s="22" t="s">
        <v>202</v>
      </c>
      <c r="G70" s="33" t="s">
        <v>518</v>
      </c>
      <c r="K70" s="29"/>
    </row>
    <row r="71" spans="1:11" hidden="1" outlineLevel="1">
      <c r="A71" s="26"/>
      <c r="B71" s="7" t="s">
        <v>869</v>
      </c>
      <c r="C71" s="22" t="s">
        <v>404</v>
      </c>
      <c r="K71" s="29"/>
    </row>
    <row r="72" spans="1:11" hidden="1" outlineLevel="1">
      <c r="A72" s="26"/>
      <c r="B72" s="34" t="s">
        <v>870</v>
      </c>
      <c r="C72" s="22" t="str">
        <f>_xlfn.TEXTJOIN(",",TRUE,D72:XFD72)</f>
        <v>[DEVICE],[COMMENT], [CATEGORY],[FULL_ADR]</v>
      </c>
      <c r="D72" s="22" t="s">
        <v>200</v>
      </c>
      <c r="E72" s="22" t="s">
        <v>203</v>
      </c>
      <c r="F72" s="22" t="s">
        <v>202</v>
      </c>
      <c r="G72" s="33" t="s">
        <v>518</v>
      </c>
      <c r="K72" s="29"/>
    </row>
    <row r="73" spans="1:11" hidden="1" outlineLevel="1">
      <c r="A73" s="26"/>
      <c r="B73" s="7" t="s">
        <v>871</v>
      </c>
      <c r="C73" s="22" t="s">
        <v>405</v>
      </c>
      <c r="K73" s="29"/>
    </row>
    <row r="74" spans="1:11" hidden="1" outlineLevel="1">
      <c r="A74" s="26"/>
      <c r="B74" s="34" t="s">
        <v>872</v>
      </c>
      <c r="C74" s="22" t="str">
        <f>_xlfn.TEXTJOIN(",",TRUE,D74:XFD74)</f>
        <v>[DEVICE],[COMMENT],'',[FULL_ADR]</v>
      </c>
      <c r="D74" s="22" t="s">
        <v>200</v>
      </c>
      <c r="E74" s="22" t="s">
        <v>203</v>
      </c>
      <c r="F74" s="35" t="s">
        <v>204</v>
      </c>
      <c r="G74" s="33" t="s">
        <v>518</v>
      </c>
      <c r="K74" s="29"/>
    </row>
    <row r="75" spans="1:11" hidden="1" outlineLevel="1">
      <c r="A75" s="26"/>
      <c r="B75" s="7" t="s">
        <v>873</v>
      </c>
      <c r="C75" s="22" t="s">
        <v>423</v>
      </c>
      <c r="K75" s="29"/>
    </row>
    <row r="76" spans="1:11" hidden="1" outlineLevel="1">
      <c r="A76" s="26"/>
      <c r="B76" s="34" t="s">
        <v>874</v>
      </c>
      <c r="C76" s="22" t="str">
        <f>_xlfn.TEXTJOIN(",",TRUE,D76:XFD76)</f>
        <v>[DEVICE],[COMMENT],'',[FULL_ADR]</v>
      </c>
      <c r="D76" s="22" t="s">
        <v>200</v>
      </c>
      <c r="E76" s="22" t="s">
        <v>203</v>
      </c>
      <c r="F76" s="35" t="s">
        <v>204</v>
      </c>
      <c r="G76" s="33" t="s">
        <v>518</v>
      </c>
      <c r="K76" s="29"/>
    </row>
    <row r="77" spans="1:11" hidden="1" outlineLevel="1">
      <c r="A77" s="26"/>
      <c r="B77" s="7" t="s">
        <v>875</v>
      </c>
      <c r="C77" s="22" t="s">
        <v>426</v>
      </c>
      <c r="K77" s="29"/>
    </row>
    <row r="78" spans="1:11" hidden="1" outlineLevel="1">
      <c r="A78" s="26"/>
      <c r="B78" s="34" t="s">
        <v>876</v>
      </c>
      <c r="C78" s="22" t="str">
        <f>_xlfn.TEXTJOIN(",",TRUE,D78:XFD78)</f>
        <v xml:space="preserve"> '',[COMMENT],'',[FULL_ADR]</v>
      </c>
      <c r="D78" s="35" t="s">
        <v>657</v>
      </c>
      <c r="E78" s="22" t="s">
        <v>203</v>
      </c>
      <c r="F78" s="35" t="s">
        <v>204</v>
      </c>
      <c r="G78" s="33" t="s">
        <v>518</v>
      </c>
      <c r="K78" s="29"/>
    </row>
    <row r="79" spans="1:11" hidden="1" outlineLevel="1">
      <c r="A79" s="26"/>
      <c r="B79" s="7" t="s">
        <v>877</v>
      </c>
      <c r="C79" s="22" t="s">
        <v>689</v>
      </c>
      <c r="K79" s="29"/>
    </row>
    <row r="80" spans="1:11" hidden="1" outlineLevel="1">
      <c r="A80" s="26"/>
      <c r="B80" s="7"/>
      <c r="K80" s="29"/>
    </row>
    <row r="81" spans="1:11" hidden="1" outlineLevel="1">
      <c r="A81" s="26"/>
      <c r="B81" s="7"/>
      <c r="K81" s="29"/>
    </row>
    <row r="82" spans="1:11" hidden="1" outlineLevel="1">
      <c r="A82" s="26"/>
      <c r="B82" s="7"/>
      <c r="K82" s="29"/>
    </row>
    <row r="83" spans="1:11" hidden="1" outlineLevel="1">
      <c r="A83" s="26"/>
      <c r="B83" s="7"/>
      <c r="K83" s="29"/>
    </row>
    <row r="84" spans="1:11" hidden="1" outlineLevel="1">
      <c r="A84" s="26"/>
      <c r="B84" s="7"/>
      <c r="K84" s="29"/>
    </row>
    <row r="85" spans="1:11" hidden="1" outlineLevel="1">
      <c r="A85" s="26"/>
      <c r="B85" s="7"/>
      <c r="K85" s="29"/>
    </row>
    <row r="86" spans="1:11" hidden="1" outlineLevel="1">
      <c r="A86" s="26"/>
      <c r="B86" s="7"/>
      <c r="K86" s="29"/>
    </row>
    <row r="87" spans="1:11" hidden="1" outlineLevel="1">
      <c r="A87" s="26"/>
      <c r="B87" s="7"/>
      <c r="K87" s="29"/>
    </row>
    <row r="88" spans="1:11" hidden="1" outlineLevel="1">
      <c r="A88" s="26"/>
      <c r="B88" s="7"/>
      <c r="K88" s="29"/>
    </row>
    <row r="89" spans="1:11" hidden="1" outlineLevel="1">
      <c r="A89" s="26"/>
      <c r="B89" s="7"/>
      <c r="K89" s="29"/>
    </row>
    <row r="90" spans="1:11" hidden="1" outlineLevel="1">
      <c r="A90" s="26"/>
      <c r="B90" s="7"/>
      <c r="K90" s="29"/>
    </row>
    <row r="91" spans="1:11" hidden="1" outlineLevel="1">
      <c r="A91" s="26"/>
      <c r="B91" s="7"/>
      <c r="K91" s="29"/>
    </row>
    <row r="92" spans="1:11" hidden="1" outlineLevel="1">
      <c r="A92" s="26"/>
      <c r="B92" s="7"/>
      <c r="K92" s="29"/>
    </row>
    <row r="93" spans="1:11" hidden="1" outlineLevel="1">
      <c r="A93" s="26"/>
      <c r="B93" s="7"/>
      <c r="K93" s="29"/>
    </row>
    <row r="94" spans="1:11" hidden="1" outlineLevel="1">
      <c r="A94" s="26"/>
      <c r="B94" s="7"/>
      <c r="K94" s="29"/>
    </row>
    <row r="95" spans="1:11" hidden="1" outlineLevel="1">
      <c r="A95" s="26"/>
      <c r="B95" s="7"/>
      <c r="K95" s="29"/>
    </row>
    <row r="96" spans="1:11" collapsed="1">
      <c r="B96" s="7"/>
      <c r="K96" s="29"/>
    </row>
    <row r="97" spans="1:11">
      <c r="A97" s="16" t="s">
        <v>563</v>
      </c>
      <c r="B97" s="7"/>
      <c r="K97" s="29"/>
    </row>
    <row r="98" spans="1:11" hidden="1" outlineLevel="1">
      <c r="A98" s="24" t="s">
        <v>19</v>
      </c>
      <c r="B98" s="7" t="s">
        <v>811</v>
      </c>
      <c r="C98" s="22" t="s">
        <v>691</v>
      </c>
      <c r="K98" s="29"/>
    </row>
    <row r="99" spans="1:11" hidden="1" outlineLevel="1">
      <c r="A99" s="24" t="s">
        <v>19</v>
      </c>
      <c r="B99" s="7" t="s">
        <v>812</v>
      </c>
      <c r="C99" s="22" t="s">
        <v>191</v>
      </c>
      <c r="K99" s="29"/>
    </row>
    <row r="100" spans="1:11" hidden="1" outlineLevel="1">
      <c r="A100" s="24" t="s">
        <v>19</v>
      </c>
      <c r="B100" s="7" t="s">
        <v>813</v>
      </c>
      <c r="C100" s="22" t="s">
        <v>157</v>
      </c>
      <c r="K100" s="29"/>
    </row>
    <row r="101" spans="1:11" hidden="1" outlineLevel="1">
      <c r="A101" s="24" t="s">
        <v>19</v>
      </c>
      <c r="B101" s="34" t="s">
        <v>814</v>
      </c>
      <c r="C101" s="22" t="s">
        <v>186</v>
      </c>
      <c r="K101" s="29"/>
    </row>
    <row r="102" spans="1:11" hidden="1" outlineLevel="1">
      <c r="A102" s="24" t="s">
        <v>19</v>
      </c>
      <c r="B102" s="7" t="s">
        <v>815</v>
      </c>
      <c r="C102" s="22" t="s">
        <v>187</v>
      </c>
      <c r="K102" s="29"/>
    </row>
    <row r="103" spans="1:11" hidden="1" outlineLevel="1">
      <c r="A103" s="24" t="s">
        <v>19</v>
      </c>
      <c r="B103" s="7" t="s">
        <v>816</v>
      </c>
      <c r="C103" s="22" t="s">
        <v>176</v>
      </c>
      <c r="K103" s="29"/>
    </row>
    <row r="104" spans="1:11" hidden="1" outlineLevel="1">
      <c r="A104" s="24" t="s">
        <v>19</v>
      </c>
      <c r="B104" s="7" t="s">
        <v>817</v>
      </c>
      <c r="C104" s="22" t="s">
        <v>188</v>
      </c>
      <c r="K104" s="29"/>
    </row>
    <row r="105" spans="1:11" hidden="1" outlineLevel="1">
      <c r="A105" s="24" t="s">
        <v>19</v>
      </c>
      <c r="D105" s="5"/>
      <c r="K105" s="29"/>
    </row>
    <row r="106" spans="1:11" hidden="1" outlineLevel="1">
      <c r="B106" s="7" t="s">
        <v>878</v>
      </c>
      <c r="K106" s="29"/>
    </row>
    <row r="107" spans="1:11" hidden="1" outlineLevel="1">
      <c r="B107" s="7" t="s">
        <v>879</v>
      </c>
      <c r="K107" s="29"/>
    </row>
    <row r="108" spans="1:11" hidden="1" outlineLevel="1">
      <c r="B108" s="7"/>
      <c r="K108" s="29"/>
    </row>
    <row r="109" spans="1:11" hidden="1" outlineLevel="1">
      <c r="B109" s="7" t="s">
        <v>189</v>
      </c>
      <c r="K109" s="29"/>
    </row>
    <row r="110" spans="1:11" hidden="1" outlineLevel="1">
      <c r="B110" s="7" t="s">
        <v>880</v>
      </c>
      <c r="C110" s="22" t="s">
        <v>691</v>
      </c>
      <c r="K110" s="29"/>
    </row>
    <row r="111" spans="1:11" hidden="1" outlineLevel="1">
      <c r="B111" s="7" t="s">
        <v>881</v>
      </c>
      <c r="C111" s="22" t="s">
        <v>19</v>
      </c>
      <c r="K111" s="29"/>
    </row>
    <row r="112" spans="1:11" hidden="1" outlineLevel="1">
      <c r="B112" s="7" t="s">
        <v>882</v>
      </c>
      <c r="C112" s="22" t="s">
        <v>157</v>
      </c>
      <c r="K112" s="29"/>
    </row>
    <row r="113" spans="1:11" hidden="1" outlineLevel="1">
      <c r="B113" s="7" t="s">
        <v>883</v>
      </c>
      <c r="C113" s="22" t="s">
        <v>190</v>
      </c>
      <c r="K113" s="29"/>
    </row>
    <row r="114" spans="1:11" hidden="1" outlineLevel="1">
      <c r="B114" s="7"/>
      <c r="K114" s="29"/>
    </row>
    <row r="115" spans="1:11" hidden="1" outlineLevel="1">
      <c r="B115" s="7"/>
      <c r="K115" s="29"/>
    </row>
    <row r="116" spans="1:11" hidden="1" outlineLevel="1">
      <c r="A116" s="22"/>
      <c r="K116" s="29"/>
    </row>
    <row r="117" spans="1:11" hidden="1" outlineLevel="1">
      <c r="A117" s="15" t="s">
        <v>479</v>
      </c>
      <c r="B117" s="7" t="s">
        <v>884</v>
      </c>
      <c r="C117" s="22" t="s">
        <v>481</v>
      </c>
      <c r="K117" s="29"/>
    </row>
    <row r="118" spans="1:11" hidden="1" outlineLevel="1">
      <c r="A118" s="22"/>
      <c r="B118" s="7" t="s">
        <v>885</v>
      </c>
      <c r="K118" s="29"/>
    </row>
    <row r="119" spans="1:11" hidden="1" outlineLevel="1">
      <c r="A119" s="22"/>
      <c r="B119" s="7" t="s">
        <v>886</v>
      </c>
      <c r="C119" s="22" t="s">
        <v>482</v>
      </c>
      <c r="D119" s="22" t="s">
        <v>474</v>
      </c>
      <c r="E119" s="22" t="s">
        <v>475</v>
      </c>
      <c r="F119" s="22" t="s">
        <v>476</v>
      </c>
      <c r="G119" s="22" t="s">
        <v>477</v>
      </c>
      <c r="H119" s="32"/>
      <c r="I119" s="32"/>
      <c r="J119" s="32"/>
      <c r="K119" s="29"/>
    </row>
    <row r="120" spans="1:11" hidden="1" outlineLevel="1">
      <c r="A120" s="22"/>
      <c r="B120" s="7" t="s">
        <v>887</v>
      </c>
      <c r="C120" s="22" t="s">
        <v>473</v>
      </c>
      <c r="K120" s="29"/>
    </row>
    <row r="121" spans="1:11" hidden="1" outlineLevel="1">
      <c r="A121" s="22"/>
      <c r="B121" s="7" t="s">
        <v>888</v>
      </c>
      <c r="C121" s="22" t="s">
        <v>755</v>
      </c>
      <c r="K121" s="29"/>
    </row>
    <row r="122" spans="1:11" hidden="1" outlineLevel="1">
      <c r="A122" s="22"/>
      <c r="B122" s="7" t="s">
        <v>889</v>
      </c>
      <c r="C122" s="22" t="s">
        <v>472</v>
      </c>
      <c r="K122" s="29"/>
    </row>
    <row r="123" spans="1:11" hidden="1" outlineLevel="1">
      <c r="A123" s="22"/>
      <c r="K123" s="29"/>
    </row>
    <row r="124" spans="1:11" hidden="1" outlineLevel="1">
      <c r="A124" s="22"/>
      <c r="K124" s="29"/>
    </row>
    <row r="125" spans="1:11" hidden="1" outlineLevel="1">
      <c r="A125" s="16" t="s">
        <v>602</v>
      </c>
      <c r="B125" s="7" t="s">
        <v>890</v>
      </c>
      <c r="C125" s="22" t="s">
        <v>691</v>
      </c>
      <c r="K125" s="29"/>
    </row>
    <row r="126" spans="1:11" hidden="1" outlineLevel="1">
      <c r="A126" s="16" t="s">
        <v>603</v>
      </c>
      <c r="B126" s="7" t="s">
        <v>891</v>
      </c>
      <c r="C126" s="22" t="s">
        <v>572</v>
      </c>
      <c r="K126" s="29"/>
    </row>
    <row r="127" spans="1:11" hidden="1" outlineLevel="1">
      <c r="B127" s="7" t="s">
        <v>892</v>
      </c>
      <c r="C127" s="22" t="s">
        <v>647</v>
      </c>
      <c r="K127" s="29"/>
    </row>
    <row r="128" spans="1:11" hidden="1" outlineLevel="1">
      <c r="B128" s="7" t="s">
        <v>893</v>
      </c>
      <c r="C128" s="22" t="s">
        <v>447</v>
      </c>
      <c r="K128" s="29"/>
    </row>
    <row r="129" spans="1:11" hidden="1" outlineLevel="1">
      <c r="B129" s="7" t="s">
        <v>894</v>
      </c>
      <c r="C129" s="22" t="s">
        <v>571</v>
      </c>
      <c r="K129" s="29"/>
    </row>
    <row r="130" spans="1:11" hidden="1" outlineLevel="1">
      <c r="A130" s="22"/>
      <c r="K130" s="29"/>
    </row>
    <row r="131" spans="1:11" hidden="1" outlineLevel="1">
      <c r="A131" s="22"/>
      <c r="K131" s="29"/>
    </row>
    <row r="132" spans="1:11" hidden="1" outlineLevel="1">
      <c r="A132" s="22"/>
      <c r="K132" s="29"/>
    </row>
    <row r="133" spans="1:11" hidden="1" outlineLevel="1">
      <c r="A133" s="15" t="s">
        <v>687</v>
      </c>
      <c r="B133" s="7" t="s">
        <v>895</v>
      </c>
      <c r="C133" s="22" t="s">
        <v>691</v>
      </c>
      <c r="K133" s="29"/>
    </row>
    <row r="134" spans="1:11" hidden="1" outlineLevel="1">
      <c r="A134" s="22" t="s">
        <v>189</v>
      </c>
      <c r="B134" s="7" t="s">
        <v>896</v>
      </c>
      <c r="K134" s="29"/>
    </row>
    <row r="135" spans="1:11" hidden="1" outlineLevel="1">
      <c r="A135" s="22"/>
      <c r="B135" s="7" t="s">
        <v>897</v>
      </c>
      <c r="C135" s="22" t="s">
        <v>694</v>
      </c>
      <c r="K135" s="29"/>
    </row>
    <row r="136" spans="1:11" hidden="1" outlineLevel="1">
      <c r="A136" s="22"/>
      <c r="B136" s="7" t="s">
        <v>898</v>
      </c>
      <c r="C136" s="22" t="s">
        <v>692</v>
      </c>
      <c r="K136" s="29"/>
    </row>
    <row r="137" spans="1:11" hidden="1" outlineLevel="1">
      <c r="A137" s="22"/>
      <c r="B137" s="7" t="s">
        <v>899</v>
      </c>
      <c r="C137" s="22" t="s">
        <v>755</v>
      </c>
      <c r="K137" s="29"/>
    </row>
    <row r="138" spans="1:11" hidden="1" outlineLevel="1">
      <c r="A138" s="22"/>
      <c r="B138" s="7" t="s">
        <v>900</v>
      </c>
      <c r="C138" s="22" t="s">
        <v>693</v>
      </c>
      <c r="K138" s="29"/>
    </row>
    <row r="139" spans="1:11" hidden="1" outlineLevel="1">
      <c r="A139" s="22" t="s">
        <v>189</v>
      </c>
      <c r="B139" s="7" t="s">
        <v>901</v>
      </c>
      <c r="K139" s="29"/>
    </row>
    <row r="140" spans="1:11" hidden="1" outlineLevel="1">
      <c r="A140" s="22"/>
      <c r="K140" s="29"/>
    </row>
    <row r="141" spans="1:11" hidden="1" outlineLevel="1">
      <c r="A141" s="22"/>
      <c r="K141" s="29"/>
    </row>
    <row r="142" spans="1:11" hidden="1" outlineLevel="1">
      <c r="A142" s="22"/>
      <c r="K142" s="29"/>
    </row>
    <row r="143" spans="1:11" hidden="1" outlineLevel="1">
      <c r="A143" s="15" t="s">
        <v>478</v>
      </c>
      <c r="B143" s="7" t="s">
        <v>902</v>
      </c>
      <c r="C143" s="22" t="s">
        <v>480</v>
      </c>
      <c r="K143" s="29"/>
    </row>
    <row r="144" spans="1:11" hidden="1" outlineLevel="1">
      <c r="A144" s="22" t="s">
        <v>189</v>
      </c>
      <c r="B144" s="7" t="s">
        <v>903</v>
      </c>
      <c r="K144" s="29"/>
    </row>
    <row r="145" spans="1:11" hidden="1" outlineLevel="1">
      <c r="A145" s="22"/>
      <c r="B145" s="7" t="s">
        <v>904</v>
      </c>
      <c r="C145" s="22" t="s">
        <v>694</v>
      </c>
      <c r="G145" s="22"/>
      <c r="H145" s="32"/>
      <c r="I145" s="32"/>
      <c r="J145" s="32"/>
      <c r="K145" s="29"/>
    </row>
    <row r="146" spans="1:11" hidden="1" outlineLevel="1">
      <c r="A146" s="22"/>
      <c r="B146" s="7" t="s">
        <v>905</v>
      </c>
      <c r="C146" s="22" t="s">
        <v>692</v>
      </c>
      <c r="K146" s="29"/>
    </row>
    <row r="147" spans="1:11" hidden="1" outlineLevel="1">
      <c r="A147" s="22"/>
      <c r="B147" s="7" t="s">
        <v>906</v>
      </c>
      <c r="C147" s="22" t="s">
        <v>755</v>
      </c>
      <c r="K147" s="29"/>
    </row>
    <row r="148" spans="1:11" hidden="1" outlineLevel="1">
      <c r="A148" s="22"/>
      <c r="B148" s="7" t="s">
        <v>907</v>
      </c>
      <c r="C148" s="22" t="s">
        <v>693</v>
      </c>
      <c r="D148" s="5"/>
      <c r="K148" s="29"/>
    </row>
    <row r="149" spans="1:11" hidden="1" outlineLevel="1">
      <c r="A149" s="22" t="s">
        <v>189</v>
      </c>
      <c r="B149" s="7" t="s">
        <v>908</v>
      </c>
      <c r="C149" s="22" t="s">
        <v>483</v>
      </c>
      <c r="K149" s="29"/>
    </row>
    <row r="150" spans="1:11" collapsed="1">
      <c r="A150" s="22"/>
      <c r="K150" s="29"/>
    </row>
    <row r="151" spans="1:11">
      <c r="B151" s="7"/>
      <c r="D151" s="36"/>
      <c r="E151" s="36"/>
    </row>
    <row r="152" spans="1:11">
      <c r="B152" s="7"/>
      <c r="D152" s="36"/>
      <c r="E152" s="36"/>
    </row>
    <row r="153" spans="1:11">
      <c r="A153" s="15" t="s">
        <v>478</v>
      </c>
      <c r="B153" s="7" t="s">
        <v>834</v>
      </c>
      <c r="C153" s="22" t="s">
        <v>698</v>
      </c>
      <c r="D153" s="36"/>
      <c r="E153" s="36"/>
    </row>
    <row r="154" spans="1:11">
      <c r="A154" s="22"/>
      <c r="B154" s="7" t="s">
        <v>835</v>
      </c>
      <c r="C154" s="22" t="s">
        <v>697</v>
      </c>
      <c r="D154" s="36"/>
      <c r="E154" s="36"/>
    </row>
    <row r="155" spans="1:11">
      <c r="A155" s="22"/>
      <c r="B155" s="7" t="s">
        <v>836</v>
      </c>
      <c r="C155" s="22" t="s">
        <v>521</v>
      </c>
      <c r="D155" s="36"/>
      <c r="E155" s="36"/>
    </row>
    <row r="156" spans="1:11">
      <c r="A156" s="22"/>
      <c r="B156" s="7" t="s">
        <v>837</v>
      </c>
      <c r="C156" s="22" t="s">
        <v>689</v>
      </c>
      <c r="D156" s="36"/>
      <c r="E156" s="36"/>
    </row>
    <row r="157" spans="1:11">
      <c r="B157" s="7"/>
      <c r="D157" s="36"/>
      <c r="E157" s="36"/>
    </row>
    <row r="158" spans="1:11">
      <c r="A158" s="22"/>
      <c r="F158" s="16"/>
      <c r="K158" s="29"/>
    </row>
    <row r="159" spans="1:11">
      <c r="A159" s="22"/>
      <c r="G159" s="22"/>
      <c r="H159" s="29"/>
      <c r="I159" s="29"/>
      <c r="J159" s="29"/>
    </row>
    <row r="160" spans="1:11">
      <c r="A160" s="37" t="s">
        <v>564</v>
      </c>
      <c r="B160" s="38"/>
      <c r="C160" s="38"/>
      <c r="E160" s="37"/>
      <c r="F160" s="38"/>
      <c r="G160" s="22"/>
      <c r="H160" s="22"/>
      <c r="I160" s="32"/>
      <c r="J160" s="32"/>
      <c r="K160" s="32"/>
    </row>
    <row r="161" spans="1:31" outlineLevel="1">
      <c r="A161" s="38"/>
      <c r="B161" s="38"/>
      <c r="C161" s="38"/>
      <c r="E161" s="37"/>
      <c r="F161" s="38"/>
      <c r="G161" s="22"/>
      <c r="H161" s="22"/>
      <c r="I161" s="32"/>
      <c r="J161" s="32"/>
      <c r="K161" s="32"/>
    </row>
    <row r="162" spans="1:31" outlineLevel="1">
      <c r="A162" s="16" t="s">
        <v>526</v>
      </c>
      <c r="D162" s="32"/>
      <c r="E162" s="32" t="s">
        <v>1253</v>
      </c>
      <c r="F162" s="25"/>
      <c r="G162" s="32"/>
      <c r="I162" s="32"/>
      <c r="J162" s="32"/>
      <c r="K162" s="32"/>
      <c r="L162" s="32"/>
      <c r="M162" s="32"/>
    </row>
    <row r="163" spans="1:31" outlineLevel="1">
      <c r="B163" s="16" t="s">
        <v>909</v>
      </c>
      <c r="C163" s="22" t="s">
        <v>517</v>
      </c>
      <c r="D163" s="32"/>
      <c r="E163" s="32" t="s">
        <v>1180</v>
      </c>
      <c r="F163" s="25"/>
      <c r="G163" s="32"/>
      <c r="I163" s="32"/>
      <c r="J163" s="32"/>
      <c r="K163" s="32"/>
      <c r="L163" s="32"/>
      <c r="M163" s="32"/>
    </row>
    <row r="164" spans="1:31" outlineLevel="1">
      <c r="A164" s="16" t="s">
        <v>189</v>
      </c>
      <c r="B164" s="33" t="s">
        <v>910</v>
      </c>
      <c r="D164" s="32" t="s">
        <v>699</v>
      </c>
      <c r="E164" s="32" t="s">
        <v>699</v>
      </c>
      <c r="F164" s="32" t="s">
        <v>699</v>
      </c>
      <c r="G164" s="32" t="s">
        <v>699</v>
      </c>
      <c r="H164" s="32" t="s">
        <v>699</v>
      </c>
      <c r="I164" s="32" t="s">
        <v>699</v>
      </c>
      <c r="J164" s="32" t="s">
        <v>699</v>
      </c>
      <c r="K164" s="32" t="s">
        <v>699</v>
      </c>
      <c r="L164" s="32" t="s">
        <v>699</v>
      </c>
      <c r="M164" s="32" t="s">
        <v>699</v>
      </c>
      <c r="N164" s="32" t="s">
        <v>699</v>
      </c>
      <c r="O164" s="32" t="s">
        <v>699</v>
      </c>
      <c r="P164" s="32" t="s">
        <v>699</v>
      </c>
    </row>
    <row r="165" spans="1:31" outlineLevel="1">
      <c r="B165" s="33"/>
      <c r="D165" s="32">
        <v>1</v>
      </c>
      <c r="E165" s="32">
        <v>2</v>
      </c>
      <c r="F165" s="32">
        <v>3</v>
      </c>
      <c r="G165" s="32">
        <v>4</v>
      </c>
      <c r="H165" s="32">
        <v>5</v>
      </c>
      <c r="I165" s="32">
        <v>6</v>
      </c>
      <c r="J165" s="32">
        <v>7</v>
      </c>
      <c r="K165" s="32">
        <v>8</v>
      </c>
      <c r="L165" s="32">
        <v>9</v>
      </c>
      <c r="M165" s="32">
        <v>10</v>
      </c>
      <c r="N165" s="32">
        <v>11</v>
      </c>
      <c r="O165" s="32">
        <v>12</v>
      </c>
      <c r="P165" s="32">
        <v>13</v>
      </c>
      <c r="Q165" s="32"/>
      <c r="R165" s="32"/>
      <c r="S165" s="32"/>
      <c r="T165" s="32"/>
      <c r="U165" s="32"/>
      <c r="V165" s="32">
        <v>19</v>
      </c>
      <c r="W165" s="32">
        <v>20</v>
      </c>
      <c r="X165" s="32">
        <v>21</v>
      </c>
      <c r="Y165" s="32">
        <v>22</v>
      </c>
      <c r="Z165" s="32">
        <v>23</v>
      </c>
      <c r="AA165" s="32">
        <v>24</v>
      </c>
      <c r="AB165" s="32">
        <v>25</v>
      </c>
      <c r="AC165" s="32">
        <v>26</v>
      </c>
      <c r="AD165" s="32">
        <v>27</v>
      </c>
      <c r="AE165" s="32">
        <v>28</v>
      </c>
    </row>
    <row r="166" spans="1:31" outlineLevel="1">
      <c r="B166" s="16" t="s">
        <v>911</v>
      </c>
      <c r="C166" s="15" t="str">
        <f>_xlfn.TEXTJOIN(",",FALSE,D166:P166)</f>
        <v>[NO], 'PLC00.R.' &amp; [PV_DEVICE] AS [FULL_ADR], 'PLC00_ANLG' AS [SHEET], [ALIAS_BASE], [ALIAS_BASE]  &amp; '_PV'  AS [ALIAS], 'PV' AS [TYPE],[COMMENT] &amp; '_PV' AS [COMMENT],[PV_MAX] AS [MAX],[PV_MIN] AS [MIN],[UNITS],[DECIMAL],[FP_TYPE],IIF([WORD_SIZE]='','',IIF([WORD_SIZE]='1W', 'BIN-16', 'BIN-32')) AS [BINALY]</v>
      </c>
      <c r="D166" s="32" t="s">
        <v>484</v>
      </c>
      <c r="E166" s="44" t="s">
        <v>1145</v>
      </c>
      <c r="F166" s="44" t="s">
        <v>1146</v>
      </c>
      <c r="G166" s="32" t="s">
        <v>487</v>
      </c>
      <c r="H166" s="32" t="s">
        <v>1147</v>
      </c>
      <c r="I166" s="32" t="s">
        <v>1148</v>
      </c>
      <c r="J166" s="32" t="s">
        <v>1177</v>
      </c>
      <c r="K166" s="32" t="s">
        <v>1179</v>
      </c>
      <c r="L166" s="32" t="s">
        <v>1178</v>
      </c>
      <c r="M166" s="32" t="s">
        <v>485</v>
      </c>
      <c r="N166" s="32" t="s">
        <v>486</v>
      </c>
      <c r="O166" s="32" t="s">
        <v>488</v>
      </c>
      <c r="P166" s="32" t="s">
        <v>489</v>
      </c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</row>
    <row r="167" spans="1:31" outlineLevel="1">
      <c r="B167" s="16" t="s">
        <v>912</v>
      </c>
      <c r="C167" s="22" t="s">
        <v>490</v>
      </c>
      <c r="D167" s="32"/>
      <c r="E167" s="32"/>
      <c r="F167" s="25"/>
      <c r="G167" s="32"/>
    </row>
    <row r="168" spans="1:31" outlineLevel="1">
      <c r="B168" s="33" t="s">
        <v>913</v>
      </c>
      <c r="C168" s="22" t="s">
        <v>492</v>
      </c>
      <c r="D168" s="32"/>
      <c r="E168" s="32"/>
      <c r="F168" s="25"/>
      <c r="G168" s="32"/>
    </row>
    <row r="169" spans="1:31" outlineLevel="1">
      <c r="B169" s="33" t="s">
        <v>914</v>
      </c>
      <c r="C169" s="15" t="str">
        <f>_xlfn.TEXTJOIN(",",FALSE,D169:P169)</f>
        <v>[NO], 'PLC00.R.' &amp; [SV_DEVICE], 'PLC00_ANLG', [ALIAS_BASE], [ALIAS_BASE]  &amp; '_SV', 'SV', [COMMENT] &amp; '_SV',IIF([SV_MAX] IS NOT NULL, [SV_MAX], [PV_MAX]),IIF([SV_MIN] IS NOT NULL, [SV_MIN], [PV_MIN]),[UNITS],[DECIMAL],[FP_TYPE],IIF([WORD_SIZE]='','',IIF([WORD_SIZE]='1W', 'BIN-16', 'BIN-32')) AS [BINALY]</v>
      </c>
      <c r="D169" s="32" t="s">
        <v>484</v>
      </c>
      <c r="E169" s="32" t="s">
        <v>1152</v>
      </c>
      <c r="F169" s="32" t="s">
        <v>1189</v>
      </c>
      <c r="G169" s="32" t="s">
        <v>487</v>
      </c>
      <c r="H169" s="32" t="s">
        <v>1190</v>
      </c>
      <c r="I169" s="32" t="s">
        <v>1211</v>
      </c>
      <c r="J169" s="32" t="s">
        <v>1232</v>
      </c>
      <c r="K169" s="32" t="s">
        <v>1173</v>
      </c>
      <c r="L169" s="32" t="s">
        <v>1174</v>
      </c>
      <c r="M169" s="32" t="s">
        <v>485</v>
      </c>
      <c r="N169" s="32" t="s">
        <v>486</v>
      </c>
      <c r="O169" s="32" t="s">
        <v>488</v>
      </c>
      <c r="P169" s="32" t="s">
        <v>489</v>
      </c>
    </row>
    <row r="170" spans="1:31" outlineLevel="1">
      <c r="B170" s="16" t="s">
        <v>915</v>
      </c>
      <c r="C170" s="22" t="s">
        <v>490</v>
      </c>
      <c r="D170" s="32"/>
      <c r="E170" s="32"/>
      <c r="F170" s="25"/>
      <c r="G170" s="32"/>
      <c r="I170" s="32"/>
      <c r="J170" s="32"/>
      <c r="K170" s="32"/>
      <c r="L170" s="32"/>
      <c r="M170" s="32"/>
    </row>
    <row r="171" spans="1:31" outlineLevel="1">
      <c r="B171" s="33" t="s">
        <v>916</v>
      </c>
      <c r="C171" s="22" t="s">
        <v>605</v>
      </c>
      <c r="D171" s="32"/>
      <c r="E171" s="32"/>
      <c r="F171" s="25"/>
      <c r="G171" s="32"/>
    </row>
    <row r="172" spans="1:31" outlineLevel="1">
      <c r="B172" s="33" t="s">
        <v>917</v>
      </c>
      <c r="C172" s="15" t="str">
        <f>_xlfn.TEXTJOIN(",",FALSE,D172:P172)</f>
        <v>[NO], 'PLC00.R.' &amp; [MV_DEVICE], 'PLC00_ANLG', [ALIAS_BASE], [ALIAS_BASE]  &amp; '_MV', 'MV', [COMMENT] &amp; '_MV', '100.0', '0.0', '%', '1',[FP_TYPE],IIF([WORD_SIZE]='','',IIF([WORD_SIZE]='1W', 'BIN-16', 'BIN-32')) AS [BINALY]</v>
      </c>
      <c r="D172" s="32" t="s">
        <v>484</v>
      </c>
      <c r="E172" s="32" t="s">
        <v>1153</v>
      </c>
      <c r="F172" s="32" t="s">
        <v>1189</v>
      </c>
      <c r="G172" s="32" t="s">
        <v>487</v>
      </c>
      <c r="H172" s="32" t="s">
        <v>1191</v>
      </c>
      <c r="I172" s="32" t="s">
        <v>1212</v>
      </c>
      <c r="J172" s="32" t="s">
        <v>1233</v>
      </c>
      <c r="K172" s="44" t="s">
        <v>1181</v>
      </c>
      <c r="L172" s="44" t="s">
        <v>1184</v>
      </c>
      <c r="M172" s="44" t="s">
        <v>1185</v>
      </c>
      <c r="N172" s="44" t="s">
        <v>1187</v>
      </c>
      <c r="O172" s="32" t="s">
        <v>488</v>
      </c>
      <c r="P172" s="32" t="s">
        <v>489</v>
      </c>
    </row>
    <row r="173" spans="1:31" outlineLevel="1">
      <c r="B173" s="16" t="s">
        <v>918</v>
      </c>
      <c r="C173" s="22" t="s">
        <v>490</v>
      </c>
      <c r="D173" s="32"/>
      <c r="E173" s="25"/>
      <c r="F173" s="25"/>
      <c r="G173" s="25"/>
    </row>
    <row r="174" spans="1:31" outlineLevel="1">
      <c r="B174" s="33" t="s">
        <v>919</v>
      </c>
      <c r="C174" s="22" t="s">
        <v>606</v>
      </c>
      <c r="D174" s="32"/>
      <c r="E174" s="25"/>
      <c r="F174" s="25"/>
      <c r="G174" s="25"/>
    </row>
    <row r="175" spans="1:31" outlineLevel="1">
      <c r="B175" s="33" t="s">
        <v>920</v>
      </c>
      <c r="C175" s="15" t="str">
        <f>_xlfn.TEXTJOIN(",",FALSE,D175:P175)</f>
        <v>[NO], 'PLC00.R.' &amp; [MV1_DEVICE], 'PLC00_ANLG', [ALIAS_BASE], [ALIAS_BASE]  &amp; '_MV1', 'MV1', [COMMENT] &amp; '_MV1', '100.0', '0.0', '%', '1',[FP_TYPE],IIF([WORD_SIZE]='','',IIF([WORD_SIZE]='1W', 'BIN-16', 'BIN-32')) AS [BINALY]</v>
      </c>
      <c r="D175" s="32" t="s">
        <v>484</v>
      </c>
      <c r="E175" s="32" t="s">
        <v>1154</v>
      </c>
      <c r="F175" s="32" t="s">
        <v>1189</v>
      </c>
      <c r="G175" s="32" t="s">
        <v>487</v>
      </c>
      <c r="H175" s="32" t="s">
        <v>1192</v>
      </c>
      <c r="I175" s="32" t="s">
        <v>1213</v>
      </c>
      <c r="J175" s="32" t="s">
        <v>1234</v>
      </c>
      <c r="K175" s="44" t="s">
        <v>1181</v>
      </c>
      <c r="L175" s="44" t="s">
        <v>1184</v>
      </c>
      <c r="M175" s="44" t="s">
        <v>1185</v>
      </c>
      <c r="N175" s="44" t="s">
        <v>1187</v>
      </c>
      <c r="O175" s="32" t="s">
        <v>488</v>
      </c>
      <c r="P175" s="32" t="s">
        <v>489</v>
      </c>
    </row>
    <row r="176" spans="1:31" outlineLevel="1">
      <c r="B176" s="16" t="s">
        <v>921</v>
      </c>
      <c r="C176" s="22" t="s">
        <v>490</v>
      </c>
      <c r="D176" s="32"/>
      <c r="E176" s="25"/>
      <c r="F176" s="25"/>
      <c r="G176" s="25"/>
    </row>
    <row r="177" spans="2:16" outlineLevel="1">
      <c r="B177" s="33" t="s">
        <v>922</v>
      </c>
      <c r="C177" s="22" t="s">
        <v>607</v>
      </c>
      <c r="D177" s="32"/>
      <c r="E177" s="25"/>
      <c r="F177" s="25"/>
      <c r="G177" s="25"/>
    </row>
    <row r="178" spans="2:16" outlineLevel="1">
      <c r="B178" s="33" t="s">
        <v>923</v>
      </c>
      <c r="C178" s="15" t="str">
        <f>_xlfn.TEXTJOIN(",",FALSE,D178:P178)</f>
        <v>[NO], 'PLC00.R.' &amp; [MV2_DEVICE], 'PLC00_ANLG', [ALIAS_BASE], [ALIAS_BASE]  &amp; '_MV2', 'MV2', [COMMENT] &amp; '_MV2', '100.0', '0.0', '%', '1',[FP_TYPE],IIF([WORD_SIZE]='','',IIF([WORD_SIZE]='1W', 'BIN-16', 'BIN-32')) AS [BINALY]</v>
      </c>
      <c r="D178" s="32" t="s">
        <v>484</v>
      </c>
      <c r="E178" s="32" t="s">
        <v>1155</v>
      </c>
      <c r="F178" s="32" t="s">
        <v>1189</v>
      </c>
      <c r="G178" s="32" t="s">
        <v>487</v>
      </c>
      <c r="H178" s="32" t="s">
        <v>1193</v>
      </c>
      <c r="I178" s="32" t="s">
        <v>1214</v>
      </c>
      <c r="J178" s="32" t="s">
        <v>1235</v>
      </c>
      <c r="K178" s="44" t="s">
        <v>1181</v>
      </c>
      <c r="L178" s="44" t="s">
        <v>1184</v>
      </c>
      <c r="M178" s="44" t="s">
        <v>1185</v>
      </c>
      <c r="N178" s="44" t="s">
        <v>1187</v>
      </c>
      <c r="O178" s="32" t="s">
        <v>488</v>
      </c>
      <c r="P178" s="32" t="s">
        <v>489</v>
      </c>
    </row>
    <row r="179" spans="2:16" outlineLevel="1">
      <c r="B179" s="16" t="s">
        <v>924</v>
      </c>
      <c r="C179" s="22" t="s">
        <v>490</v>
      </c>
      <c r="D179" s="32"/>
      <c r="E179" s="25"/>
      <c r="F179" s="25"/>
      <c r="G179" s="25"/>
    </row>
    <row r="180" spans="2:16" outlineLevel="1">
      <c r="B180" s="33" t="s">
        <v>925</v>
      </c>
      <c r="C180" s="22" t="s">
        <v>608</v>
      </c>
      <c r="D180" s="32"/>
      <c r="E180" s="25"/>
      <c r="F180" s="25"/>
      <c r="G180" s="25"/>
    </row>
    <row r="181" spans="2:16" outlineLevel="1">
      <c r="B181" s="33" t="s">
        <v>926</v>
      </c>
      <c r="C181" s="15" t="str">
        <f>_xlfn.TEXTJOIN(",",FALSE,D181:P181)</f>
        <v>[NO], 'PLC00.R.' &amp; [MH_DEVICE], 'PLC00_ANLG', [ALIAS_BASE], [ALIAS_BASE]  &amp; '_MH', 'MH', [COMMENT] &amp; '_MH', '100.0', '0.0', '%', '1',[FP_TYPE],IIF([WORD_SIZE]='','',IIF([WORD_SIZE]='1W', 'BIN-16', 'BIN-32')) AS [BINALY]</v>
      </c>
      <c r="D181" s="32" t="s">
        <v>484</v>
      </c>
      <c r="E181" s="32" t="s">
        <v>1156</v>
      </c>
      <c r="F181" s="32" t="s">
        <v>1189</v>
      </c>
      <c r="G181" s="32" t="s">
        <v>487</v>
      </c>
      <c r="H181" s="32" t="s">
        <v>1194</v>
      </c>
      <c r="I181" s="32" t="s">
        <v>1215</v>
      </c>
      <c r="J181" s="32" t="s">
        <v>1236</v>
      </c>
      <c r="K181" s="44" t="s">
        <v>1181</v>
      </c>
      <c r="L181" s="44" t="s">
        <v>1184</v>
      </c>
      <c r="M181" s="44" t="s">
        <v>1185</v>
      </c>
      <c r="N181" s="44" t="s">
        <v>1187</v>
      </c>
      <c r="O181" s="32" t="s">
        <v>488</v>
      </c>
      <c r="P181" s="32" t="s">
        <v>489</v>
      </c>
    </row>
    <row r="182" spans="2:16" outlineLevel="1">
      <c r="B182" s="16" t="s">
        <v>927</v>
      </c>
      <c r="C182" s="22" t="s">
        <v>490</v>
      </c>
      <c r="D182" s="32"/>
      <c r="E182" s="25"/>
      <c r="F182" s="25"/>
      <c r="G182" s="25"/>
    </row>
    <row r="183" spans="2:16" outlineLevel="1">
      <c r="B183" s="33" t="s">
        <v>928</v>
      </c>
      <c r="C183" s="22" t="s">
        <v>609</v>
      </c>
      <c r="D183" s="32"/>
      <c r="E183" s="25"/>
      <c r="F183" s="25"/>
      <c r="G183" s="25"/>
    </row>
    <row r="184" spans="2:16" outlineLevel="1">
      <c r="B184" s="33" t="s">
        <v>929</v>
      </c>
      <c r="C184" s="15" t="str">
        <f>_xlfn.TEXTJOIN(",",FALSE,D184:P184)</f>
        <v>[NO], 'PLC00.R.' &amp; [ML_DEVICE], 'PLC00_ANLG', [ALIAS_BASE], [ALIAS_BASE]  &amp; '_ML', 'ML', [COMMENT] &amp; '_ML', '100.0', '0.0', '%', '1',[FP_TYPE],IIF([WORD_SIZE]='','',IIF([WORD_SIZE]='1W', 'BIN-16', 'BIN-32')) AS [BINALY]</v>
      </c>
      <c r="D184" s="32" t="s">
        <v>484</v>
      </c>
      <c r="E184" s="32" t="s">
        <v>1157</v>
      </c>
      <c r="F184" s="32" t="s">
        <v>1189</v>
      </c>
      <c r="G184" s="32" t="s">
        <v>487</v>
      </c>
      <c r="H184" s="32" t="s">
        <v>1195</v>
      </c>
      <c r="I184" s="32" t="s">
        <v>1216</v>
      </c>
      <c r="J184" s="32" t="s">
        <v>1237</v>
      </c>
      <c r="K184" s="44" t="s">
        <v>1181</v>
      </c>
      <c r="L184" s="44" t="s">
        <v>1184</v>
      </c>
      <c r="M184" s="44" t="s">
        <v>1185</v>
      </c>
      <c r="N184" s="44" t="s">
        <v>1187</v>
      </c>
      <c r="O184" s="32" t="s">
        <v>488</v>
      </c>
      <c r="P184" s="32" t="s">
        <v>489</v>
      </c>
    </row>
    <row r="185" spans="2:16" outlineLevel="1">
      <c r="B185" s="16" t="s">
        <v>930</v>
      </c>
      <c r="C185" s="22" t="s">
        <v>490</v>
      </c>
      <c r="D185" s="32"/>
      <c r="E185" s="25"/>
      <c r="F185" s="25"/>
      <c r="G185" s="25"/>
    </row>
    <row r="186" spans="2:16" outlineLevel="1">
      <c r="B186" s="33" t="s">
        <v>931</v>
      </c>
      <c r="C186" s="22" t="s">
        <v>610</v>
      </c>
      <c r="D186" s="32"/>
      <c r="E186" s="25"/>
      <c r="F186" s="25"/>
      <c r="G186" s="25"/>
    </row>
    <row r="187" spans="2:16" outlineLevel="1">
      <c r="B187" s="33" t="s">
        <v>932</v>
      </c>
      <c r="C187" s="15" t="str">
        <f>_xlfn.TEXTJOIN(",",FALSE,D187:P187)</f>
        <v>[NO], 'PLC00.M.' &amp; [AL_CAL_M_DEVICE], 'PLC00_ANLG', [ALIAS_BASE], [ALIAS_BASE]  &amp; '_AL_CAL_M', 'AL_CAL_M', [COMMENT] &amp; '_AL_CAL_M', '0', '0', '', '0',[FP_TYPE],IIF([WORD_SIZE]='','',IIF([WORD_SIZE]='1W', 'BIN-16', 'BIN-32')) AS [BINALY]</v>
      </c>
      <c r="D187" s="32" t="s">
        <v>484</v>
      </c>
      <c r="E187" s="32" t="s">
        <v>1158</v>
      </c>
      <c r="F187" s="32" t="s">
        <v>1189</v>
      </c>
      <c r="G187" s="32" t="s">
        <v>487</v>
      </c>
      <c r="H187" s="32" t="s">
        <v>1196</v>
      </c>
      <c r="I187" s="32" t="s">
        <v>1217</v>
      </c>
      <c r="J187" s="32" t="s">
        <v>1238</v>
      </c>
      <c r="K187" s="44" t="s">
        <v>1183</v>
      </c>
      <c r="L187" s="44" t="s">
        <v>1183</v>
      </c>
      <c r="M187" s="44" t="s">
        <v>657</v>
      </c>
      <c r="N187" s="44" t="s">
        <v>1183</v>
      </c>
      <c r="O187" s="32" t="s">
        <v>488</v>
      </c>
      <c r="P187" s="32" t="s">
        <v>489</v>
      </c>
    </row>
    <row r="188" spans="2:16" outlineLevel="1">
      <c r="B188" s="16" t="s">
        <v>933</v>
      </c>
      <c r="C188" s="22" t="s">
        <v>490</v>
      </c>
      <c r="D188" s="32"/>
      <c r="E188" s="25"/>
      <c r="F188" s="25"/>
      <c r="G188" s="25"/>
    </row>
    <row r="189" spans="2:16" outlineLevel="1">
      <c r="B189" s="33" t="s">
        <v>934</v>
      </c>
      <c r="C189" s="22" t="s">
        <v>611</v>
      </c>
      <c r="D189" s="32"/>
      <c r="E189" s="25"/>
      <c r="F189" s="25"/>
      <c r="G189" s="25"/>
    </row>
    <row r="190" spans="2:16" outlineLevel="1">
      <c r="B190" s="33" t="s">
        <v>935</v>
      </c>
      <c r="C190" s="15" t="str">
        <f>_xlfn.TEXTJOIN(",",FALSE,D190:P190)</f>
        <v>[NO], 'PLC00.M.' &amp; [AL_H_DEVICE], 'PLC00_ANLG', [ALIAS_BASE], [ALIAS_BASE]  &amp; '_AL_H', 'AL_H', [COMMENT] &amp; '_AL_H', '0', '0', '', '0',[FP_TYPE],IIF([WORD_SIZE]='','',IIF([WORD_SIZE]='1W', 'BIN-16', 'BIN-32')) AS [BINALY]</v>
      </c>
      <c r="D190" s="32" t="s">
        <v>484</v>
      </c>
      <c r="E190" s="32" t="s">
        <v>1159</v>
      </c>
      <c r="F190" s="32" t="s">
        <v>1189</v>
      </c>
      <c r="G190" s="32" t="s">
        <v>487</v>
      </c>
      <c r="H190" s="32" t="s">
        <v>1197</v>
      </c>
      <c r="I190" s="32" t="s">
        <v>1218</v>
      </c>
      <c r="J190" s="32" t="s">
        <v>1239</v>
      </c>
      <c r="K190" s="44" t="s">
        <v>1183</v>
      </c>
      <c r="L190" s="44" t="s">
        <v>1183</v>
      </c>
      <c r="M190" s="44" t="s">
        <v>657</v>
      </c>
      <c r="N190" s="44" t="s">
        <v>1183</v>
      </c>
      <c r="O190" s="32" t="s">
        <v>488</v>
      </c>
      <c r="P190" s="32" t="s">
        <v>489</v>
      </c>
    </row>
    <row r="191" spans="2:16" outlineLevel="1">
      <c r="B191" s="16" t="s">
        <v>936</v>
      </c>
      <c r="C191" s="22" t="s">
        <v>490</v>
      </c>
      <c r="D191" s="32"/>
      <c r="E191" s="25"/>
      <c r="F191" s="25"/>
      <c r="G191" s="25"/>
    </row>
    <row r="192" spans="2:16" outlineLevel="1">
      <c r="B192" s="33" t="s">
        <v>937</v>
      </c>
      <c r="C192" s="22" t="s">
        <v>612</v>
      </c>
      <c r="D192" s="32"/>
      <c r="E192" s="25"/>
      <c r="F192" s="25"/>
      <c r="G192" s="25"/>
    </row>
    <row r="193" spans="2:16" outlineLevel="1">
      <c r="B193" s="33" t="s">
        <v>938</v>
      </c>
      <c r="C193" s="15" t="str">
        <f>_xlfn.TEXTJOIN(",",FALSE,D193:P193)</f>
        <v>[NO], 'PLC00.M.' &amp; [AL_HH_DEVICE], 'PLC00_ANLG', [ALIAS_BASE], [ALIAS_BASE]  &amp; '_AL_HH', 'AL_HH', [COMMENT] &amp; '_AL_HH', '0', '0', '', '0',[FP_TYPE],IIF([WORD_SIZE]='','',IIF([WORD_SIZE]='1W', 'BIN-16', 'BIN-32')) AS [BINALY]</v>
      </c>
      <c r="D193" s="32" t="s">
        <v>484</v>
      </c>
      <c r="E193" s="32" t="s">
        <v>1160</v>
      </c>
      <c r="F193" s="32" t="s">
        <v>1189</v>
      </c>
      <c r="G193" s="32" t="s">
        <v>487</v>
      </c>
      <c r="H193" s="32" t="s">
        <v>1198</v>
      </c>
      <c r="I193" s="32" t="s">
        <v>1219</v>
      </c>
      <c r="J193" s="32" t="s">
        <v>1240</v>
      </c>
      <c r="K193" s="44" t="s">
        <v>1183</v>
      </c>
      <c r="L193" s="44" t="s">
        <v>1183</v>
      </c>
      <c r="M193" s="44" t="s">
        <v>657</v>
      </c>
      <c r="N193" s="44" t="s">
        <v>1183</v>
      </c>
      <c r="O193" s="32" t="s">
        <v>488</v>
      </c>
      <c r="P193" s="32" t="s">
        <v>489</v>
      </c>
    </row>
    <row r="194" spans="2:16" outlineLevel="1">
      <c r="B194" s="16" t="s">
        <v>939</v>
      </c>
      <c r="C194" s="22" t="s">
        <v>490</v>
      </c>
      <c r="D194" s="25"/>
      <c r="E194" s="25"/>
      <c r="F194" s="25"/>
      <c r="G194" s="25"/>
    </row>
    <row r="195" spans="2:16" outlineLevel="1">
      <c r="B195" s="33" t="s">
        <v>940</v>
      </c>
      <c r="C195" s="22" t="s">
        <v>613</v>
      </c>
      <c r="D195" s="25"/>
      <c r="E195" s="25"/>
      <c r="F195" s="25"/>
      <c r="G195" s="25"/>
    </row>
    <row r="196" spans="2:16" outlineLevel="1">
      <c r="B196" s="33" t="s">
        <v>941</v>
      </c>
      <c r="C196" s="15" t="str">
        <f>_xlfn.TEXTJOIN(",",FALSE,D196:P196)</f>
        <v>[NO], 'PLC00.M.' &amp; [AL_L_DEVICE], 'PLC00_ANLG', [ALIAS_BASE], [ALIAS_BASE]  &amp; '_AL_L', 'AL_L', [COMMENT] &amp; '_AL_L', '0', '0', '', '0',[FP_TYPE],IIF([WORD_SIZE]='','',IIF([WORD_SIZE]='1W', 'BIN-16', 'BIN-32')) AS [BINALY]</v>
      </c>
      <c r="D196" s="32" t="s">
        <v>484</v>
      </c>
      <c r="E196" s="32" t="s">
        <v>1161</v>
      </c>
      <c r="F196" s="32" t="s">
        <v>1189</v>
      </c>
      <c r="G196" s="32" t="s">
        <v>487</v>
      </c>
      <c r="H196" s="32" t="s">
        <v>1199</v>
      </c>
      <c r="I196" s="32" t="s">
        <v>1220</v>
      </c>
      <c r="J196" s="32" t="s">
        <v>1241</v>
      </c>
      <c r="K196" s="44" t="s">
        <v>1183</v>
      </c>
      <c r="L196" s="44" t="s">
        <v>1183</v>
      </c>
      <c r="M196" s="44" t="s">
        <v>657</v>
      </c>
      <c r="N196" s="44" t="s">
        <v>1183</v>
      </c>
      <c r="O196" s="32" t="s">
        <v>488</v>
      </c>
      <c r="P196" s="32" t="s">
        <v>489</v>
      </c>
    </row>
    <row r="197" spans="2:16" outlineLevel="1">
      <c r="B197" s="16" t="s">
        <v>942</v>
      </c>
      <c r="C197" s="22" t="s">
        <v>490</v>
      </c>
      <c r="D197" s="25"/>
      <c r="E197" s="25"/>
      <c r="F197" s="25"/>
      <c r="G197" s="25"/>
    </row>
    <row r="198" spans="2:16" outlineLevel="1">
      <c r="B198" s="33" t="s">
        <v>943</v>
      </c>
      <c r="C198" s="22" t="s">
        <v>614</v>
      </c>
      <c r="D198" s="25"/>
      <c r="E198" s="25"/>
      <c r="F198" s="25"/>
      <c r="G198" s="25"/>
    </row>
    <row r="199" spans="2:16" outlineLevel="1">
      <c r="B199" s="33" t="s">
        <v>944</v>
      </c>
      <c r="C199" s="15" t="str">
        <f>_xlfn.TEXTJOIN(",",FALSE,D199:P199)</f>
        <v>[NO], 'PLC00.M.' &amp; [AL_LL_DEVICE], 'PLC00_ANLG', [ALIAS_BASE], [ALIAS_BASE]  &amp; '_AL_LL', 'AL_LL', [COMMENT] &amp; '_AL_LL', '0', '0', '', '0',[FP_TYPE],IIF([WORD_SIZE]='','',IIF([WORD_SIZE]='1W', 'BIN-16', 'BIN-32')) AS [BINALY]</v>
      </c>
      <c r="D199" s="32" t="s">
        <v>484</v>
      </c>
      <c r="E199" s="32" t="s">
        <v>1162</v>
      </c>
      <c r="F199" s="32" t="s">
        <v>1189</v>
      </c>
      <c r="G199" s="32" t="s">
        <v>487</v>
      </c>
      <c r="H199" s="32" t="s">
        <v>1200</v>
      </c>
      <c r="I199" s="32" t="s">
        <v>1221</v>
      </c>
      <c r="J199" s="32" t="s">
        <v>1242</v>
      </c>
      <c r="K199" s="44" t="s">
        <v>1183</v>
      </c>
      <c r="L199" s="44" t="s">
        <v>1183</v>
      </c>
      <c r="M199" s="44" t="s">
        <v>657</v>
      </c>
      <c r="N199" s="44" t="s">
        <v>1183</v>
      </c>
      <c r="O199" s="32" t="s">
        <v>488</v>
      </c>
      <c r="P199" s="32" t="s">
        <v>489</v>
      </c>
    </row>
    <row r="200" spans="2:16" outlineLevel="1">
      <c r="B200" s="16" t="s">
        <v>945</v>
      </c>
      <c r="C200" s="22" t="s">
        <v>490</v>
      </c>
      <c r="D200" s="25"/>
      <c r="E200" s="25"/>
      <c r="F200" s="25"/>
      <c r="G200" s="25"/>
    </row>
    <row r="201" spans="2:16" outlineLevel="1">
      <c r="B201" s="33" t="s">
        <v>946</v>
      </c>
      <c r="C201" s="22" t="s">
        <v>615</v>
      </c>
      <c r="D201" s="25"/>
      <c r="E201" s="25"/>
      <c r="F201" s="25"/>
      <c r="G201" s="25"/>
    </row>
    <row r="202" spans="2:16" outlineLevel="1">
      <c r="B202" s="33" t="s">
        <v>947</v>
      </c>
      <c r="C202" s="15" t="str">
        <f>_xlfn.TEXTJOIN(",",FALSE,D202:P202)</f>
        <v>[NO], 'PLC00.M.' &amp; [PLC_CAL_M_DEVICE], 'PLC00_ANLG', [ALIAS_BASE], [ALIAS_BASE]  &amp; '_PLC_CAL_M', 'PLC_CAL_M', [COMMENT] &amp; '_PLC_CAL_M', '0', '0', '', '0',[FP_TYPE],IIF([WORD_SIZE]='','',IIF([WORD_SIZE]='1W', 'BIN-16', 'BIN-32')) AS [BINALY]</v>
      </c>
      <c r="D202" s="32" t="s">
        <v>484</v>
      </c>
      <c r="E202" s="32" t="s">
        <v>1163</v>
      </c>
      <c r="F202" s="32" t="s">
        <v>1189</v>
      </c>
      <c r="G202" s="32" t="s">
        <v>487</v>
      </c>
      <c r="H202" s="32" t="s">
        <v>1201</v>
      </c>
      <c r="I202" s="32" t="s">
        <v>1222</v>
      </c>
      <c r="J202" s="32" t="s">
        <v>1243</v>
      </c>
      <c r="K202" s="44" t="s">
        <v>1183</v>
      </c>
      <c r="L202" s="44" t="s">
        <v>1183</v>
      </c>
      <c r="M202" s="44" t="s">
        <v>657</v>
      </c>
      <c r="N202" s="44" t="s">
        <v>1183</v>
      </c>
      <c r="O202" s="32" t="s">
        <v>488</v>
      </c>
      <c r="P202" s="32" t="s">
        <v>489</v>
      </c>
    </row>
    <row r="203" spans="2:16" outlineLevel="1">
      <c r="B203" s="16" t="s">
        <v>948</v>
      </c>
      <c r="C203" s="22" t="s">
        <v>490</v>
      </c>
      <c r="D203" s="25"/>
      <c r="E203" s="25"/>
      <c r="F203" s="25"/>
      <c r="G203" s="25"/>
    </row>
    <row r="204" spans="2:16" outlineLevel="1">
      <c r="B204" s="33" t="s">
        <v>949</v>
      </c>
      <c r="C204" s="22" t="s">
        <v>616</v>
      </c>
      <c r="D204" s="25"/>
      <c r="E204" s="25"/>
      <c r="F204" s="25"/>
      <c r="G204" s="25"/>
    </row>
    <row r="205" spans="2:16" outlineLevel="1">
      <c r="B205" s="33" t="s">
        <v>950</v>
      </c>
      <c r="C205" s="15" t="str">
        <f>_xlfn.TEXTJOIN(",",FALSE,D205:P205)</f>
        <v>[NO], 'PLC00.M.' &amp; [PLC_H_DEVICE], 'PLC00_ANLG', [ALIAS_BASE], [ALIAS_BASE]  &amp; '_PLC_H', 'PLC_H', [COMMENT] &amp; '_PLC_H', '0', '0', '', '0',[FP_TYPE],IIF([WORD_SIZE]='','',IIF([WORD_SIZE]='1W', 'BIN-16', 'BIN-32')) AS [BINALY]</v>
      </c>
      <c r="D205" s="32" t="s">
        <v>484</v>
      </c>
      <c r="E205" s="32" t="s">
        <v>1164</v>
      </c>
      <c r="F205" s="32" t="s">
        <v>1189</v>
      </c>
      <c r="G205" s="32" t="s">
        <v>487</v>
      </c>
      <c r="H205" s="32" t="s">
        <v>1202</v>
      </c>
      <c r="I205" s="32" t="s">
        <v>1223</v>
      </c>
      <c r="J205" s="32" t="s">
        <v>1244</v>
      </c>
      <c r="K205" s="44" t="s">
        <v>1183</v>
      </c>
      <c r="L205" s="44" t="s">
        <v>1183</v>
      </c>
      <c r="M205" s="44" t="s">
        <v>657</v>
      </c>
      <c r="N205" s="44" t="s">
        <v>1183</v>
      </c>
      <c r="O205" s="32" t="s">
        <v>488</v>
      </c>
      <c r="P205" s="32" t="s">
        <v>489</v>
      </c>
    </row>
    <row r="206" spans="2:16" outlineLevel="1">
      <c r="B206" s="16" t="s">
        <v>951</v>
      </c>
      <c r="C206" s="22" t="s">
        <v>490</v>
      </c>
      <c r="D206" s="25"/>
      <c r="E206" s="25"/>
      <c r="F206" s="25"/>
      <c r="G206" s="25"/>
    </row>
    <row r="207" spans="2:16" outlineLevel="1">
      <c r="B207" s="33" t="s">
        <v>952</v>
      </c>
      <c r="C207" s="22" t="s">
        <v>617</v>
      </c>
      <c r="D207" s="25"/>
      <c r="E207" s="25"/>
      <c r="F207" s="25"/>
      <c r="G207" s="25"/>
    </row>
    <row r="208" spans="2:16" outlineLevel="1">
      <c r="B208" s="33" t="s">
        <v>953</v>
      </c>
      <c r="C208" s="15" t="str">
        <f>_xlfn.TEXTJOIN(",",FALSE,D208:P208)</f>
        <v>[NO], 'PLC00.M.' &amp; [PLC_HH_DEVICE], 'PLC00_ANLG', [ALIAS_BASE], [ALIAS_BASE]  &amp; '_PLC_HH', 'PLC_HH', [COMMENT] &amp; '_PLC_HH', '0', '0', '', '0',[FP_TYPE],IIF([WORD_SIZE]='','',IIF([WORD_SIZE]='1W', 'BIN-16', 'BIN-32')) AS [BINALY]</v>
      </c>
      <c r="D208" s="32" t="s">
        <v>484</v>
      </c>
      <c r="E208" s="32" t="s">
        <v>1165</v>
      </c>
      <c r="F208" s="32" t="s">
        <v>1189</v>
      </c>
      <c r="G208" s="32" t="s">
        <v>487</v>
      </c>
      <c r="H208" s="32" t="s">
        <v>1203</v>
      </c>
      <c r="I208" s="32" t="s">
        <v>1224</v>
      </c>
      <c r="J208" s="32" t="s">
        <v>1245</v>
      </c>
      <c r="K208" s="44" t="s">
        <v>1183</v>
      </c>
      <c r="L208" s="44" t="s">
        <v>1183</v>
      </c>
      <c r="M208" s="44" t="s">
        <v>657</v>
      </c>
      <c r="N208" s="44" t="s">
        <v>1183</v>
      </c>
      <c r="O208" s="32" t="s">
        <v>488</v>
      </c>
      <c r="P208" s="32" t="s">
        <v>489</v>
      </c>
    </row>
    <row r="209" spans="2:16" outlineLevel="1">
      <c r="B209" s="16" t="s">
        <v>954</v>
      </c>
      <c r="C209" s="22" t="s">
        <v>490</v>
      </c>
      <c r="D209" s="25"/>
      <c r="E209" s="25"/>
      <c r="F209" s="25"/>
      <c r="G209" s="25"/>
    </row>
    <row r="210" spans="2:16" outlineLevel="1">
      <c r="B210" s="33" t="s">
        <v>955</v>
      </c>
      <c r="C210" s="22" t="s">
        <v>618</v>
      </c>
      <c r="D210" s="25"/>
      <c r="E210" s="25"/>
      <c r="F210" s="25"/>
      <c r="G210" s="25"/>
    </row>
    <row r="211" spans="2:16" outlineLevel="1">
      <c r="B211" s="33" t="s">
        <v>956</v>
      </c>
      <c r="C211" s="15" t="str">
        <f>_xlfn.TEXTJOIN(",",FALSE,D211:P211)</f>
        <v>[NO], 'PLC00.M.' &amp; [PLC_L_DEVICE], 'PLC00_ANLG', [ALIAS_BASE], [ALIAS_BASE]  &amp; '_PLC_L', 'PLC_L', [COMMENT] &amp; '_PLC_L', '0', '0', '', '0',[FP_TYPE],IIF([WORD_SIZE]='','',IIF([WORD_SIZE]='1W', 'BIN-16', 'BIN-32')) AS [BINALY]</v>
      </c>
      <c r="D211" s="32" t="s">
        <v>484</v>
      </c>
      <c r="E211" s="32" t="s">
        <v>1166</v>
      </c>
      <c r="F211" s="32" t="s">
        <v>1189</v>
      </c>
      <c r="G211" s="32" t="s">
        <v>487</v>
      </c>
      <c r="H211" s="32" t="s">
        <v>1204</v>
      </c>
      <c r="I211" s="32" t="s">
        <v>1225</v>
      </c>
      <c r="J211" s="32" t="s">
        <v>1246</v>
      </c>
      <c r="K211" s="44" t="s">
        <v>1183</v>
      </c>
      <c r="L211" s="44" t="s">
        <v>1183</v>
      </c>
      <c r="M211" s="44" t="s">
        <v>657</v>
      </c>
      <c r="N211" s="44" t="s">
        <v>1183</v>
      </c>
      <c r="O211" s="32" t="s">
        <v>488</v>
      </c>
      <c r="P211" s="32" t="s">
        <v>489</v>
      </c>
    </row>
    <row r="212" spans="2:16" outlineLevel="1">
      <c r="B212" s="16" t="s">
        <v>957</v>
      </c>
      <c r="C212" s="22" t="s">
        <v>490</v>
      </c>
      <c r="D212" s="25"/>
      <c r="E212" s="25"/>
      <c r="F212" s="25"/>
      <c r="G212" s="25"/>
    </row>
    <row r="213" spans="2:16" outlineLevel="1">
      <c r="B213" s="33" t="s">
        <v>958</v>
      </c>
      <c r="C213" s="22" t="s">
        <v>619</v>
      </c>
      <c r="D213" s="25"/>
      <c r="E213" s="25"/>
      <c r="F213" s="25"/>
      <c r="G213" s="25"/>
    </row>
    <row r="214" spans="2:16" outlineLevel="1">
      <c r="B214" s="33" t="s">
        <v>959</v>
      </c>
      <c r="C214" s="15" t="str">
        <f>_xlfn.TEXTJOIN(",",FALSE,D214:P214)</f>
        <v>[NO], 'PLC00.M.' &amp; [PLC_LL_DEVICE], 'PLC00_ANLG', [ALIAS_BASE], [ALIAS_BASE]  &amp; '_PLC_LL', 'PLC_LL', [COMMENT] &amp; '_PLC_LL', '0', '0', '', '0',[FP_TYPE],IIF([WORD_SIZE]='','',IIF([WORD_SIZE]='1W', 'BIN-16', 'BIN-32')) AS [BINALY]</v>
      </c>
      <c r="D214" s="32" t="s">
        <v>484</v>
      </c>
      <c r="E214" s="32" t="s">
        <v>1167</v>
      </c>
      <c r="F214" s="32" t="s">
        <v>1189</v>
      </c>
      <c r="G214" s="32" t="s">
        <v>487</v>
      </c>
      <c r="H214" s="32" t="s">
        <v>1205</v>
      </c>
      <c r="I214" s="32" t="s">
        <v>1226</v>
      </c>
      <c r="J214" s="32" t="s">
        <v>1247</v>
      </c>
      <c r="K214" s="44" t="s">
        <v>1183</v>
      </c>
      <c r="L214" s="44" t="s">
        <v>1183</v>
      </c>
      <c r="M214" s="44" t="s">
        <v>657</v>
      </c>
      <c r="N214" s="44" t="s">
        <v>1183</v>
      </c>
      <c r="O214" s="32" t="s">
        <v>488</v>
      </c>
      <c r="P214" s="32" t="s">
        <v>489</v>
      </c>
    </row>
    <row r="215" spans="2:16" outlineLevel="1">
      <c r="B215" s="16" t="s">
        <v>960</v>
      </c>
      <c r="C215" s="22" t="s">
        <v>490</v>
      </c>
      <c r="D215" s="25"/>
      <c r="E215" s="25"/>
      <c r="F215" s="25"/>
      <c r="G215" s="25"/>
    </row>
    <row r="216" spans="2:16" outlineLevel="1">
      <c r="B216" s="33" t="s">
        <v>961</v>
      </c>
      <c r="C216" s="22" t="s">
        <v>620</v>
      </c>
      <c r="D216" s="25"/>
      <c r="E216" s="25"/>
      <c r="F216" s="25"/>
      <c r="G216" s="25"/>
    </row>
    <row r="217" spans="2:16" outlineLevel="1">
      <c r="B217" s="33" t="s">
        <v>962</v>
      </c>
      <c r="C217" s="15" t="str">
        <f>_xlfn.TEXTJOIN(",",FALSE,D217:P217)</f>
        <v>[NO], 'PLC00.R.' &amp; [MODE_DEVICE], 'PLC00_ANLG', [ALIAS_BASE], [ALIAS_BASE]  &amp; '_MODE', 'MODE', [COMMENT] &amp; '_A/M' , '0', '0', '', '0',[FP_TYPE],IIF([WORD_SIZE]='','',IIF([WORD_SIZE]='1W', 'BIN-16', 'BIN-32')) AS [BINALY]</v>
      </c>
      <c r="D217" s="32" t="s">
        <v>484</v>
      </c>
      <c r="E217" s="32" t="s">
        <v>1168</v>
      </c>
      <c r="F217" s="32" t="s">
        <v>1189</v>
      </c>
      <c r="G217" s="32" t="s">
        <v>487</v>
      </c>
      <c r="H217" s="32" t="s">
        <v>1206</v>
      </c>
      <c r="I217" s="32" t="s">
        <v>1227</v>
      </c>
      <c r="J217" s="32" t="s">
        <v>1248</v>
      </c>
      <c r="K217" s="44" t="s">
        <v>1183</v>
      </c>
      <c r="L217" s="44" t="s">
        <v>1183</v>
      </c>
      <c r="M217" s="44" t="s">
        <v>657</v>
      </c>
      <c r="N217" s="44" t="s">
        <v>1183</v>
      </c>
      <c r="O217" s="32" t="s">
        <v>488</v>
      </c>
      <c r="P217" s="32" t="s">
        <v>489</v>
      </c>
    </row>
    <row r="218" spans="2:16" outlineLevel="1">
      <c r="B218" s="16" t="s">
        <v>963</v>
      </c>
      <c r="C218" s="22" t="s">
        <v>490</v>
      </c>
      <c r="D218" s="25"/>
      <c r="E218" s="25"/>
      <c r="F218" s="25"/>
      <c r="G218" s="25"/>
    </row>
    <row r="219" spans="2:16" outlineLevel="1">
      <c r="B219" s="33" t="s">
        <v>964</v>
      </c>
      <c r="C219" s="22" t="s">
        <v>621</v>
      </c>
      <c r="D219" s="25"/>
      <c r="E219" s="25"/>
      <c r="F219" s="25"/>
      <c r="G219" s="25"/>
    </row>
    <row r="220" spans="2:16" outlineLevel="1">
      <c r="B220" s="33" t="s">
        <v>965</v>
      </c>
      <c r="C220" s="15" t="str">
        <f>_xlfn.TEXTJOIN(",",FALSE,D220:P220)</f>
        <v>[NO], 'PLC00.R.' &amp; [P_DEVICE], 'PLC00_ANLG', [ALIAS_BASE], [ALIAS_BASE]  &amp; '_P', 'P', [COMMENT] &amp; '_P', '', '', '', '0',[FP_TYPE],IIF([WORD_SIZE]='','',IIF([WORD_SIZE]='1W', 'BIN-16', 'BIN-32')) AS [BINALY]</v>
      </c>
      <c r="D220" s="32" t="s">
        <v>484</v>
      </c>
      <c r="E220" s="32" t="s">
        <v>1169</v>
      </c>
      <c r="F220" s="32" t="s">
        <v>1189</v>
      </c>
      <c r="G220" s="32" t="s">
        <v>487</v>
      </c>
      <c r="H220" s="32" t="s">
        <v>1207</v>
      </c>
      <c r="I220" s="32" t="s">
        <v>1228</v>
      </c>
      <c r="J220" s="32" t="s">
        <v>1249</v>
      </c>
      <c r="K220" s="44" t="s">
        <v>657</v>
      </c>
      <c r="L220" s="44" t="s">
        <v>657</v>
      </c>
      <c r="M220" s="44" t="s">
        <v>657</v>
      </c>
      <c r="N220" s="44" t="s">
        <v>1183</v>
      </c>
      <c r="O220" s="32" t="s">
        <v>488</v>
      </c>
      <c r="P220" s="32" t="s">
        <v>489</v>
      </c>
    </row>
    <row r="221" spans="2:16" outlineLevel="1">
      <c r="B221" s="16" t="s">
        <v>966</v>
      </c>
      <c r="C221" s="22" t="s">
        <v>490</v>
      </c>
      <c r="D221" s="25"/>
      <c r="E221" s="25"/>
      <c r="F221" s="25"/>
      <c r="G221" s="25"/>
    </row>
    <row r="222" spans="2:16" outlineLevel="1">
      <c r="B222" s="33" t="s">
        <v>967</v>
      </c>
      <c r="C222" s="22" t="s">
        <v>622</v>
      </c>
      <c r="D222" s="25"/>
      <c r="E222" s="25"/>
      <c r="F222" s="25"/>
      <c r="G222" s="25"/>
    </row>
    <row r="223" spans="2:16" outlineLevel="1">
      <c r="B223" s="33" t="s">
        <v>968</v>
      </c>
      <c r="C223" s="15" t="str">
        <f>_xlfn.TEXTJOIN(",",FALSE,D223:P223)</f>
        <v>[NO], 'PLC00.R.' &amp; [I_DEVICE], 'PLC00_ANLG', [ALIAS_BASE], [ALIAS_BASE]  &amp; '_I', 'I', [COMMENT] &amp; '_I', '', '', '', '1',[FP_TYPE],IIF([WORD_SIZE]='','',IIF([WORD_SIZE]='1W', 'BIN-16', 'BIN-32')) AS [BINALY]</v>
      </c>
      <c r="D223" s="32" t="s">
        <v>484</v>
      </c>
      <c r="E223" s="32" t="s">
        <v>1170</v>
      </c>
      <c r="F223" s="32" t="s">
        <v>1189</v>
      </c>
      <c r="G223" s="32" t="s">
        <v>487</v>
      </c>
      <c r="H223" s="32" t="s">
        <v>1208</v>
      </c>
      <c r="I223" s="32" t="s">
        <v>1229</v>
      </c>
      <c r="J223" s="32" t="s">
        <v>1250</v>
      </c>
      <c r="K223" s="44" t="s">
        <v>657</v>
      </c>
      <c r="L223" s="44" t="s">
        <v>657</v>
      </c>
      <c r="M223" s="44" t="s">
        <v>657</v>
      </c>
      <c r="N223" s="44" t="s">
        <v>1187</v>
      </c>
      <c r="O223" s="32" t="s">
        <v>488</v>
      </c>
      <c r="P223" s="32" t="s">
        <v>489</v>
      </c>
    </row>
    <row r="224" spans="2:16" outlineLevel="1">
      <c r="B224" s="16" t="s">
        <v>969</v>
      </c>
      <c r="C224" s="22" t="s">
        <v>490</v>
      </c>
      <c r="D224" s="25"/>
      <c r="E224" s="25"/>
      <c r="F224" s="25"/>
      <c r="G224" s="25"/>
    </row>
    <row r="225" spans="1:16" outlineLevel="1">
      <c r="B225" s="33" t="s">
        <v>970</v>
      </c>
      <c r="C225" s="22" t="s">
        <v>623</v>
      </c>
      <c r="D225" s="25"/>
      <c r="E225" s="25"/>
      <c r="F225" s="25"/>
      <c r="G225" s="25"/>
    </row>
    <row r="226" spans="1:16" outlineLevel="1">
      <c r="B226" s="33" t="s">
        <v>971</v>
      </c>
      <c r="C226" s="15" t="str">
        <f>_xlfn.TEXTJOIN(",",FALSE,D226:P226)</f>
        <v>[NO], 'PLC00.R.' &amp; [D_DEVICE], 'PLC00_ANLG', [ALIAS_BASE], [ALIAS_BASE]  &amp; '_D', 'D', [COMMENT] &amp; '_D', '', '', '', '2',[FP_TYPE],IIF([WORD_SIZE]='','',IIF([WORD_SIZE]='1W', 'BIN-16', 'BIN-32')) AS [BINALY]</v>
      </c>
      <c r="D226" s="32" t="s">
        <v>484</v>
      </c>
      <c r="E226" s="32" t="s">
        <v>1171</v>
      </c>
      <c r="F226" s="32" t="s">
        <v>1189</v>
      </c>
      <c r="G226" s="32" t="s">
        <v>487</v>
      </c>
      <c r="H226" s="32" t="s">
        <v>1209</v>
      </c>
      <c r="I226" s="32" t="s">
        <v>1230</v>
      </c>
      <c r="J226" s="32" t="s">
        <v>1251</v>
      </c>
      <c r="K226" s="44" t="s">
        <v>657</v>
      </c>
      <c r="L226" s="44" t="s">
        <v>657</v>
      </c>
      <c r="M226" s="44" t="s">
        <v>657</v>
      </c>
      <c r="N226" s="44" t="s">
        <v>1186</v>
      </c>
      <c r="O226" s="32" t="s">
        <v>488</v>
      </c>
      <c r="P226" s="32" t="s">
        <v>489</v>
      </c>
    </row>
    <row r="227" spans="1:16" outlineLevel="1">
      <c r="B227" s="16" t="s">
        <v>972</v>
      </c>
      <c r="C227" s="22" t="s">
        <v>490</v>
      </c>
      <c r="D227" s="25"/>
      <c r="E227" s="25"/>
      <c r="F227" s="25"/>
      <c r="G227" s="25"/>
    </row>
    <row r="228" spans="1:16" outlineLevel="1">
      <c r="B228" s="33" t="s">
        <v>973</v>
      </c>
      <c r="C228" s="22" t="s">
        <v>624</v>
      </c>
      <c r="D228" s="32"/>
      <c r="E228" s="25"/>
      <c r="F228" s="25"/>
      <c r="G228" s="25"/>
    </row>
    <row r="229" spans="1:16" outlineLevel="1">
      <c r="B229" s="33" t="s">
        <v>974</v>
      </c>
      <c r="C229" s="15" t="str">
        <f>_xlfn.TEXTJOIN(",",FALSE,D229:P229)</f>
        <v>[NO], 'PLC00.R.' &amp; [CAL_M_DEVICE], 'PLC00_ANLG', [ALIAS_BASE], [ALIAS_BASE]  &amp; '_CAL_M', 'CAL_M', [COMMENT] &amp; '_CAL_M', '0', '0', '', '0',[FP_TYPE],IIF([WORD_SIZE]='','',IIF([WORD_SIZE]='1W', 'BIN-16', 'BIN-32')) AS [BINALY]</v>
      </c>
      <c r="D229" s="32" t="s">
        <v>484</v>
      </c>
      <c r="E229" s="32" t="s">
        <v>1172</v>
      </c>
      <c r="F229" s="32" t="s">
        <v>1189</v>
      </c>
      <c r="G229" s="32" t="s">
        <v>487</v>
      </c>
      <c r="H229" s="32" t="s">
        <v>1210</v>
      </c>
      <c r="I229" s="32" t="s">
        <v>1231</v>
      </c>
      <c r="J229" s="32" t="s">
        <v>1252</v>
      </c>
      <c r="K229" s="44" t="s">
        <v>1183</v>
      </c>
      <c r="L229" s="44" t="s">
        <v>1183</v>
      </c>
      <c r="M229" s="44" t="s">
        <v>657</v>
      </c>
      <c r="N229" s="44" t="s">
        <v>1183</v>
      </c>
      <c r="O229" s="32" t="s">
        <v>488</v>
      </c>
      <c r="P229" s="32" t="s">
        <v>489</v>
      </c>
    </row>
    <row r="230" spans="1:16" outlineLevel="1">
      <c r="B230" s="16" t="s">
        <v>975</v>
      </c>
      <c r="C230" s="22" t="s">
        <v>490</v>
      </c>
      <c r="D230" s="32"/>
      <c r="E230" s="25"/>
      <c r="F230" s="25"/>
      <c r="G230" s="25"/>
    </row>
    <row r="231" spans="1:16" outlineLevel="1">
      <c r="B231" s="33" t="s">
        <v>976</v>
      </c>
      <c r="C231" s="22" t="s">
        <v>625</v>
      </c>
      <c r="D231" s="32"/>
      <c r="E231" s="25"/>
      <c r="F231" s="25"/>
      <c r="G231" s="25"/>
    </row>
    <row r="232" spans="1:16" outlineLevel="1">
      <c r="B232" s="33"/>
      <c r="C232" s="15"/>
      <c r="D232" s="32"/>
      <c r="E232" s="25"/>
      <c r="F232" s="25"/>
      <c r="G232" s="25"/>
    </row>
    <row r="233" spans="1:16" outlineLevel="1">
      <c r="A233" s="16" t="s">
        <v>525</v>
      </c>
      <c r="B233" s="33"/>
      <c r="C233" s="15"/>
      <c r="D233" s="32"/>
      <c r="E233" s="25"/>
      <c r="F233" s="25"/>
      <c r="G233" s="25"/>
    </row>
    <row r="234" spans="1:16" outlineLevel="1">
      <c r="B234" s="16" t="s">
        <v>977</v>
      </c>
      <c r="C234" s="22" t="s">
        <v>516</v>
      </c>
      <c r="D234" s="32"/>
      <c r="E234" s="25"/>
      <c r="F234" s="25"/>
      <c r="G234" s="25"/>
    </row>
    <row r="235" spans="1:16" outlineLevel="1">
      <c r="A235" s="16" t="s">
        <v>189</v>
      </c>
      <c r="B235" s="33" t="s">
        <v>978</v>
      </c>
      <c r="D235" s="25"/>
      <c r="E235" s="25"/>
      <c r="F235" s="25"/>
      <c r="G235" s="25"/>
    </row>
    <row r="236" spans="1:16" outlineLevel="1">
      <c r="B236" s="16" t="s">
        <v>979</v>
      </c>
      <c r="C236" s="15" t="str">
        <f>_xlfn.TEXTJOIN(",",FALSE,D236:P236)</f>
        <v>[NO], 'PLC03.R.' &amp; [PV_DEVICE] AS [FULL_ADR], 'PLC03_ANLG' AS [SHEET], [ALIAS_BASE], [ALIAS_BASE]  &amp; '_PV'  AS [ALIAS], 'PV' AS [TYPE], [COMMENT] &amp; '_PV' AS [COMMENT],[PV_MAX] AS [MAX],[PV_MIN] AS [MIN],[UNITS],[DECIMAL],[FP_TYPE],IIF([WORD_SIZE]='','',IIF([WORD_SIZE]='1W', 'BIN-16', 'BIN-32')) AS [BINALY]</v>
      </c>
      <c r="D236" s="32" t="s">
        <v>484</v>
      </c>
      <c r="E236" s="32" t="s">
        <v>1150</v>
      </c>
      <c r="F236" s="32" t="s">
        <v>1151</v>
      </c>
      <c r="G236" s="32" t="s">
        <v>487</v>
      </c>
      <c r="H236" s="32" t="s">
        <v>1147</v>
      </c>
      <c r="I236" s="32" t="s">
        <v>1148</v>
      </c>
      <c r="J236" s="32" t="s">
        <v>1149</v>
      </c>
      <c r="K236" s="32" t="s">
        <v>1179</v>
      </c>
      <c r="L236" s="32" t="s">
        <v>1178</v>
      </c>
      <c r="M236" s="32" t="s">
        <v>485</v>
      </c>
      <c r="N236" s="32" t="s">
        <v>486</v>
      </c>
      <c r="O236" s="32" t="s">
        <v>488</v>
      </c>
      <c r="P236" s="32" t="s">
        <v>489</v>
      </c>
    </row>
    <row r="237" spans="1:16" outlineLevel="1">
      <c r="B237" s="16" t="s">
        <v>980</v>
      </c>
      <c r="C237" s="22" t="s">
        <v>494</v>
      </c>
      <c r="D237" s="32"/>
      <c r="E237" s="25"/>
      <c r="F237" s="25"/>
      <c r="G237" s="25"/>
    </row>
    <row r="238" spans="1:16" outlineLevel="1">
      <c r="B238" s="33" t="s">
        <v>981</v>
      </c>
      <c r="C238" s="22" t="s">
        <v>492</v>
      </c>
      <c r="D238" s="25"/>
      <c r="E238" s="25"/>
      <c r="F238" s="25"/>
      <c r="G238" s="25"/>
    </row>
    <row r="239" spans="1:16" outlineLevel="1">
      <c r="B239" s="33" t="s">
        <v>982</v>
      </c>
      <c r="C239" s="15" t="str">
        <f>_xlfn.TEXTJOIN(",",FALSE,D239:P239)</f>
        <v>[NO], 'PLC03.R.' &amp; [SV_DEVICE], 'PLC03_ANLG', [ALIAS_BASE], [ALIAS_BASE]  &amp; '_SV', 'SV', [COMMENT] &amp; '_SV',IIF([SV_MAX] IS NOT NULL, [SV_MAX], [PV_MAX]),IIF([SV_MIN] IS NOT NULL, [SV_MIN], [PV_MIN]),[UNITS],[DECIMAL],[FP_TYPE],IIF([WORD_SIZE]='','',IIF([WORD_SIZE]='1W', 'BIN-16', 'BIN-32')) AS [BINALY]</v>
      </c>
      <c r="D239" s="32" t="s">
        <v>484</v>
      </c>
      <c r="E239" s="32" t="s">
        <v>1254</v>
      </c>
      <c r="F239" s="32" t="s">
        <v>1188</v>
      </c>
      <c r="G239" s="32" t="s">
        <v>487</v>
      </c>
      <c r="H239" s="32" t="s">
        <v>1190</v>
      </c>
      <c r="I239" s="32" t="s">
        <v>1211</v>
      </c>
      <c r="J239" s="32" t="s">
        <v>1232</v>
      </c>
      <c r="K239" s="32" t="s">
        <v>1173</v>
      </c>
      <c r="L239" s="32" t="s">
        <v>1174</v>
      </c>
      <c r="M239" s="32" t="s">
        <v>485</v>
      </c>
      <c r="N239" s="32" t="s">
        <v>486</v>
      </c>
      <c r="O239" s="32" t="s">
        <v>488</v>
      </c>
      <c r="P239" s="32" t="s">
        <v>489</v>
      </c>
    </row>
    <row r="240" spans="1:16" outlineLevel="1">
      <c r="B240" s="16" t="s">
        <v>983</v>
      </c>
      <c r="C240" s="22" t="s">
        <v>494</v>
      </c>
      <c r="D240" s="25"/>
      <c r="E240" s="25"/>
      <c r="F240" s="25"/>
      <c r="G240" s="25"/>
    </row>
    <row r="241" spans="2:16" outlineLevel="1">
      <c r="B241" s="33" t="s">
        <v>984</v>
      </c>
      <c r="C241" s="22" t="s">
        <v>626</v>
      </c>
      <c r="D241" s="25"/>
      <c r="E241" s="25"/>
      <c r="F241" s="25"/>
      <c r="G241" s="25"/>
    </row>
    <row r="242" spans="2:16" outlineLevel="1">
      <c r="B242" s="33" t="s">
        <v>985</v>
      </c>
      <c r="C242" s="15" t="str">
        <f>_xlfn.TEXTJOIN(",",FALSE,D242:P242)</f>
        <v>[NO], 'PLC03.R.' &amp; [MV_DEVICE], 'PLC03_ANLG', [ALIAS_BASE], [ALIAS_BASE]  &amp; '_MV', 'MV', [COMMENT] &amp; '_MV', '100.0', '0.0', '%', '1',[FP_TYPE],IIF([WORD_SIZE]='','',IIF([WORD_SIZE]='1W', 'BIN-16', 'BIN-32')) AS [BINALY]</v>
      </c>
      <c r="D242" s="32" t="s">
        <v>484</v>
      </c>
      <c r="E242" s="32" t="s">
        <v>1255</v>
      </c>
      <c r="F242" s="32" t="s">
        <v>1188</v>
      </c>
      <c r="G242" s="32" t="s">
        <v>487</v>
      </c>
      <c r="H242" s="32" t="s">
        <v>1191</v>
      </c>
      <c r="I242" s="32" t="s">
        <v>1212</v>
      </c>
      <c r="J242" s="32" t="s">
        <v>1233</v>
      </c>
      <c r="K242" s="44" t="s">
        <v>1181</v>
      </c>
      <c r="L242" s="44" t="s">
        <v>1184</v>
      </c>
      <c r="M242" s="44" t="s">
        <v>1185</v>
      </c>
      <c r="N242" s="44" t="s">
        <v>1187</v>
      </c>
      <c r="O242" s="32" t="s">
        <v>488</v>
      </c>
      <c r="P242" s="32" t="s">
        <v>489</v>
      </c>
    </row>
    <row r="243" spans="2:16" outlineLevel="1">
      <c r="B243" s="16" t="s">
        <v>986</v>
      </c>
      <c r="C243" s="22" t="s">
        <v>494</v>
      </c>
      <c r="D243" s="25"/>
      <c r="E243" s="25"/>
      <c r="F243" s="25"/>
      <c r="G243" s="25"/>
    </row>
    <row r="244" spans="2:16" outlineLevel="1">
      <c r="B244" s="33" t="s">
        <v>987</v>
      </c>
      <c r="C244" s="22" t="s">
        <v>627</v>
      </c>
      <c r="D244" s="25"/>
      <c r="E244" s="25"/>
      <c r="F244" s="25"/>
      <c r="G244" s="25"/>
    </row>
    <row r="245" spans="2:16" outlineLevel="1">
      <c r="B245" s="33" t="s">
        <v>988</v>
      </c>
      <c r="C245" s="15" t="str">
        <f>_xlfn.TEXTJOIN(",",FALSE,D245:P245)</f>
        <v>[NO], 'PLC03.R.' &amp; [MV1_DEVICE], 'PLC03_ANLG', [ALIAS_BASE], [ALIAS_BASE]  &amp; '_MV1', 'MV1', [COMMENT] &amp; '_MV1', '100.0', '0.0', '%', '1',[FP_TYPE],IIF([WORD_SIZE]='','',IIF([WORD_SIZE]='1W', 'BIN-16', 'BIN-32')) AS [BINALY]</v>
      </c>
      <c r="D245" s="32" t="s">
        <v>484</v>
      </c>
      <c r="E245" s="32" t="s">
        <v>1256</v>
      </c>
      <c r="F245" s="32" t="s">
        <v>1188</v>
      </c>
      <c r="G245" s="32" t="s">
        <v>487</v>
      </c>
      <c r="H245" s="32" t="s">
        <v>1192</v>
      </c>
      <c r="I245" s="32" t="s">
        <v>1213</v>
      </c>
      <c r="J245" s="32" t="s">
        <v>1234</v>
      </c>
      <c r="K245" s="32" t="s">
        <v>1181</v>
      </c>
      <c r="L245" s="44" t="s">
        <v>1184</v>
      </c>
      <c r="M245" s="44" t="s">
        <v>1185</v>
      </c>
      <c r="N245" s="44" t="s">
        <v>1187</v>
      </c>
      <c r="O245" s="32" t="s">
        <v>488</v>
      </c>
      <c r="P245" s="32" t="s">
        <v>489</v>
      </c>
    </row>
    <row r="246" spans="2:16" outlineLevel="1">
      <c r="B246" s="16" t="s">
        <v>989</v>
      </c>
      <c r="C246" s="22" t="s">
        <v>494</v>
      </c>
      <c r="D246" s="25"/>
      <c r="E246" s="25"/>
      <c r="F246" s="25"/>
      <c r="G246" s="25"/>
    </row>
    <row r="247" spans="2:16" outlineLevel="1">
      <c r="B247" s="33" t="s">
        <v>990</v>
      </c>
      <c r="C247" s="22" t="s">
        <v>628</v>
      </c>
      <c r="D247" s="25"/>
      <c r="E247" s="25"/>
      <c r="F247" s="25"/>
      <c r="G247" s="25"/>
    </row>
    <row r="248" spans="2:16" outlineLevel="1">
      <c r="B248" s="33" t="s">
        <v>991</v>
      </c>
      <c r="C248" s="15" t="str">
        <f>_xlfn.TEXTJOIN(",",FALSE,D248:P248)</f>
        <v>[NO], 'PLC03.R.' &amp; [MV2_DEVICE], 'PLC03_ANLG', [ALIAS_BASE], [ALIAS_BASE]  &amp; '_MV2', 'MV2', [COMMENT] &amp; '_MV2',  '100.0', '0.0', '%', '1',[FP_TYPE],IIF([WORD_SIZE]='','',IIF([WORD_SIZE]='1W', 'BIN-16', 'BIN-32')) AS [BINALY]</v>
      </c>
      <c r="D248" s="32" t="s">
        <v>484</v>
      </c>
      <c r="E248" s="32" t="s">
        <v>1257</v>
      </c>
      <c r="F248" s="32" t="s">
        <v>1188</v>
      </c>
      <c r="G248" s="32" t="s">
        <v>487</v>
      </c>
      <c r="H248" s="32" t="s">
        <v>1193</v>
      </c>
      <c r="I248" s="32" t="s">
        <v>1214</v>
      </c>
      <c r="J248" s="32" t="s">
        <v>1235</v>
      </c>
      <c r="K248" s="32" t="s">
        <v>1182</v>
      </c>
      <c r="L248" s="44" t="s">
        <v>1184</v>
      </c>
      <c r="M248" s="44" t="s">
        <v>1185</v>
      </c>
      <c r="N248" s="44" t="s">
        <v>1187</v>
      </c>
      <c r="O248" s="32" t="s">
        <v>488</v>
      </c>
      <c r="P248" s="32" t="s">
        <v>489</v>
      </c>
    </row>
    <row r="249" spans="2:16" outlineLevel="1">
      <c r="B249" s="16" t="s">
        <v>992</v>
      </c>
      <c r="C249" s="22" t="s">
        <v>494</v>
      </c>
      <c r="D249" s="25"/>
      <c r="E249" s="29"/>
      <c r="F249" s="25"/>
      <c r="G249" s="25"/>
    </row>
    <row r="250" spans="2:16" outlineLevel="1">
      <c r="B250" s="33" t="s">
        <v>993</v>
      </c>
      <c r="C250" s="22" t="s">
        <v>629</v>
      </c>
      <c r="D250" s="25"/>
      <c r="E250" s="29"/>
      <c r="F250" s="25"/>
      <c r="G250" s="25"/>
    </row>
    <row r="251" spans="2:16" outlineLevel="1">
      <c r="B251" s="33" t="s">
        <v>994</v>
      </c>
      <c r="C251" s="15" t="str">
        <f>_xlfn.TEXTJOIN(",",FALSE,D251:P251)</f>
        <v>[NO], 'PLC03.R.' &amp; [MH_DEVICE], 'PLC03_ANLG', [ALIAS_BASE], [ALIAS_BASE]  &amp; '_MH', 'MH', [COMMENT] &amp; '_MH', '100.0', '0.0', '%', '1',[FP_TYPE],IIF([WORD_SIZE]='','',IIF([WORD_SIZE]='1W', 'BIN-16', 'BIN-32')) AS [BINALY]</v>
      </c>
      <c r="D251" s="32" t="s">
        <v>484</v>
      </c>
      <c r="E251" s="32" t="s">
        <v>1258</v>
      </c>
      <c r="F251" s="32" t="s">
        <v>1188</v>
      </c>
      <c r="G251" s="32" t="s">
        <v>487</v>
      </c>
      <c r="H251" s="32" t="s">
        <v>1194</v>
      </c>
      <c r="I251" s="32" t="s">
        <v>1215</v>
      </c>
      <c r="J251" s="32" t="s">
        <v>1236</v>
      </c>
      <c r="K251" s="32" t="s">
        <v>1181</v>
      </c>
      <c r="L251" s="44" t="s">
        <v>1184</v>
      </c>
      <c r="M251" s="44" t="s">
        <v>1185</v>
      </c>
      <c r="N251" s="44" t="s">
        <v>1187</v>
      </c>
      <c r="O251" s="32" t="s">
        <v>488</v>
      </c>
      <c r="P251" s="32" t="s">
        <v>489</v>
      </c>
    </row>
    <row r="252" spans="2:16" outlineLevel="1">
      <c r="B252" s="16" t="s">
        <v>995</v>
      </c>
      <c r="C252" s="22" t="s">
        <v>494</v>
      </c>
      <c r="D252" s="25"/>
      <c r="E252" s="29"/>
      <c r="F252" s="25"/>
      <c r="G252" s="25"/>
    </row>
    <row r="253" spans="2:16" outlineLevel="1">
      <c r="B253" s="33" t="s">
        <v>996</v>
      </c>
      <c r="C253" s="22" t="s">
        <v>630</v>
      </c>
      <c r="D253" s="25"/>
      <c r="E253" s="29"/>
      <c r="F253" s="25"/>
      <c r="G253" s="25"/>
    </row>
    <row r="254" spans="2:16" outlineLevel="1">
      <c r="B254" s="33" t="s">
        <v>997</v>
      </c>
      <c r="C254" s="15" t="str">
        <f>_xlfn.TEXTJOIN(",",FALSE,D254:P254)</f>
        <v>[NO], 'PLC03.R.' &amp; [ML_DEVICE], 'PLC03_ANLG', [ALIAS_BASE], [ALIAS_BASE]  &amp; '_ML', 'ML', [COMMENT] &amp; '_ML', '100.0', '0.0', '%', '1',[FP_TYPE],IIF([WORD_SIZE]='','',IIF([WORD_SIZE]='1W', 'BIN-16', 'BIN-32')) AS [BINALY]</v>
      </c>
      <c r="D254" s="32" t="s">
        <v>484</v>
      </c>
      <c r="E254" s="32" t="s">
        <v>1259</v>
      </c>
      <c r="F254" s="32" t="s">
        <v>1188</v>
      </c>
      <c r="G254" s="32" t="s">
        <v>487</v>
      </c>
      <c r="H254" s="32" t="s">
        <v>1195</v>
      </c>
      <c r="I254" s="32" t="s">
        <v>1216</v>
      </c>
      <c r="J254" s="32" t="s">
        <v>1237</v>
      </c>
      <c r="K254" s="32" t="s">
        <v>1181</v>
      </c>
      <c r="L254" s="44" t="s">
        <v>1184</v>
      </c>
      <c r="M254" s="44" t="s">
        <v>1185</v>
      </c>
      <c r="N254" s="44" t="s">
        <v>1187</v>
      </c>
      <c r="O254" s="32" t="s">
        <v>488</v>
      </c>
      <c r="P254" s="32" t="s">
        <v>489</v>
      </c>
    </row>
    <row r="255" spans="2:16" outlineLevel="1">
      <c r="B255" s="16" t="s">
        <v>998</v>
      </c>
      <c r="C255" s="22" t="s">
        <v>494</v>
      </c>
      <c r="D255" s="25"/>
      <c r="E255" s="29"/>
      <c r="F255" s="25"/>
      <c r="G255" s="25"/>
    </row>
    <row r="256" spans="2:16" outlineLevel="1">
      <c r="B256" s="33" t="s">
        <v>999</v>
      </c>
      <c r="C256" s="22" t="s">
        <v>631</v>
      </c>
      <c r="D256" s="25"/>
      <c r="E256" s="29"/>
      <c r="F256" s="25"/>
      <c r="G256" s="25"/>
    </row>
    <row r="257" spans="2:16" outlineLevel="1">
      <c r="B257" s="33" t="s">
        <v>1000</v>
      </c>
      <c r="C257" s="15" t="str">
        <f>_xlfn.TEXTJOIN(",",FALSE,D257:P257)</f>
        <v>[NO], 'PLC03.M.' &amp; [AL_CAL_M_DEVICE], 'PLC03_ANLG', [ALIAS_BASE], [ALIAS_BASE]  &amp; '_AL_CAL_M', 'AL_CAL_M', [COMMENT] &amp; '_AL_CAL_M', '0', '0', '', '0',[FP_TYPE],IIF([WORD_SIZE]='','',IIF([WORD_SIZE]='1W', 'BIN-16', 'BIN-32')) AS [BINALY]</v>
      </c>
      <c r="D257" s="32" t="s">
        <v>484</v>
      </c>
      <c r="E257" s="32" t="s">
        <v>1260</v>
      </c>
      <c r="F257" s="32" t="s">
        <v>1188</v>
      </c>
      <c r="G257" s="32" t="s">
        <v>487</v>
      </c>
      <c r="H257" s="32" t="s">
        <v>1196</v>
      </c>
      <c r="I257" s="32" t="s">
        <v>1217</v>
      </c>
      <c r="J257" s="32" t="s">
        <v>1238</v>
      </c>
      <c r="K257" s="32" t="s">
        <v>1183</v>
      </c>
      <c r="L257" s="32" t="s">
        <v>1183</v>
      </c>
      <c r="M257" s="32" t="s">
        <v>657</v>
      </c>
      <c r="N257" s="44" t="s">
        <v>1183</v>
      </c>
      <c r="O257" s="32" t="s">
        <v>488</v>
      </c>
      <c r="P257" s="32" t="s">
        <v>489</v>
      </c>
    </row>
    <row r="258" spans="2:16" outlineLevel="1">
      <c r="B258" s="16" t="s">
        <v>1001</v>
      </c>
      <c r="C258" s="22" t="s">
        <v>494</v>
      </c>
      <c r="D258" s="25"/>
      <c r="E258" s="29"/>
      <c r="F258" s="25"/>
      <c r="G258" s="25"/>
    </row>
    <row r="259" spans="2:16" outlineLevel="1">
      <c r="B259" s="33" t="s">
        <v>1002</v>
      </c>
      <c r="C259" s="22" t="s">
        <v>632</v>
      </c>
      <c r="D259" s="25"/>
      <c r="E259" s="29"/>
      <c r="F259" s="25"/>
      <c r="G259" s="25"/>
    </row>
    <row r="260" spans="2:16" outlineLevel="1">
      <c r="B260" s="33" t="s">
        <v>1003</v>
      </c>
      <c r="C260" s="15" t="str">
        <f>_xlfn.TEXTJOIN(",",FALSE,D260:P260)</f>
        <v>[NO], 'PLC03.M.' &amp; [AL_H_DEVICE], 'PLC03_ANLG', [ALIAS_BASE], [ALIAS_BASE]  &amp; '_AL_H', 'AL_H', [COMMENT] &amp; '_AL_H', '0', '0', '', '0',[FP_TYPE],IIF([WORD_SIZE]='','',IIF([WORD_SIZE]='1W', 'BIN-16', 'BIN-32')) AS [BINALY]</v>
      </c>
      <c r="D260" s="32" t="s">
        <v>484</v>
      </c>
      <c r="E260" s="32" t="s">
        <v>1261</v>
      </c>
      <c r="F260" s="32" t="s">
        <v>1188</v>
      </c>
      <c r="G260" s="32" t="s">
        <v>487</v>
      </c>
      <c r="H260" s="32" t="s">
        <v>1197</v>
      </c>
      <c r="I260" s="32" t="s">
        <v>1218</v>
      </c>
      <c r="J260" s="32" t="s">
        <v>1239</v>
      </c>
      <c r="K260" s="32" t="s">
        <v>1183</v>
      </c>
      <c r="L260" s="32" t="s">
        <v>1183</v>
      </c>
      <c r="M260" s="32" t="s">
        <v>657</v>
      </c>
      <c r="N260" s="44" t="s">
        <v>1183</v>
      </c>
      <c r="O260" s="32" t="s">
        <v>488</v>
      </c>
      <c r="P260" s="32" t="s">
        <v>489</v>
      </c>
    </row>
    <row r="261" spans="2:16" outlineLevel="1">
      <c r="B261" s="16" t="s">
        <v>1004</v>
      </c>
      <c r="C261" s="22" t="s">
        <v>494</v>
      </c>
      <c r="D261" s="25"/>
      <c r="E261" s="29"/>
      <c r="F261" s="25"/>
      <c r="G261" s="25"/>
    </row>
    <row r="262" spans="2:16" outlineLevel="1">
      <c r="B262" s="33" t="s">
        <v>1005</v>
      </c>
      <c r="C262" s="22" t="s">
        <v>633</v>
      </c>
      <c r="D262" s="25"/>
      <c r="E262" s="29"/>
      <c r="F262" s="25"/>
      <c r="G262" s="25"/>
    </row>
    <row r="263" spans="2:16" outlineLevel="1">
      <c r="B263" s="33" t="s">
        <v>1006</v>
      </c>
      <c r="C263" s="15" t="str">
        <f>_xlfn.TEXTJOIN(",",FALSE,D263:P263)</f>
        <v>[NO], 'PLC03.M.' &amp; [AL_HH_DEVICE], 'PLC03_ANLG', [ALIAS_BASE], [ALIAS_BASE]  &amp; '_AL_HH', 'AL_HH', [COMMENT] &amp; '_AL_HH', '0', '0', '', '0',[FP_TYPE],IIF([WORD_SIZE]='','',IIF([WORD_SIZE]='1W', 'BIN-16', 'BIN-32')) AS [BINALY]</v>
      </c>
      <c r="D263" s="32" t="s">
        <v>484</v>
      </c>
      <c r="E263" s="32" t="s">
        <v>1262</v>
      </c>
      <c r="F263" s="32" t="s">
        <v>1188</v>
      </c>
      <c r="G263" s="32" t="s">
        <v>487</v>
      </c>
      <c r="H263" s="32" t="s">
        <v>1198</v>
      </c>
      <c r="I263" s="32" t="s">
        <v>1219</v>
      </c>
      <c r="J263" s="32" t="s">
        <v>1240</v>
      </c>
      <c r="K263" s="32" t="s">
        <v>1183</v>
      </c>
      <c r="L263" s="32" t="s">
        <v>1183</v>
      </c>
      <c r="M263" s="32" t="s">
        <v>657</v>
      </c>
      <c r="N263" s="44" t="s">
        <v>1183</v>
      </c>
      <c r="O263" s="32" t="s">
        <v>488</v>
      </c>
      <c r="P263" s="32" t="s">
        <v>489</v>
      </c>
    </row>
    <row r="264" spans="2:16" outlineLevel="1">
      <c r="B264" s="16" t="s">
        <v>1007</v>
      </c>
      <c r="C264" s="22" t="s">
        <v>494</v>
      </c>
      <c r="D264" s="25"/>
      <c r="E264" s="29"/>
      <c r="F264" s="25"/>
      <c r="G264" s="25"/>
    </row>
    <row r="265" spans="2:16" outlineLevel="1">
      <c r="B265" s="33" t="s">
        <v>1008</v>
      </c>
      <c r="C265" s="22" t="s">
        <v>634</v>
      </c>
      <c r="D265" s="25"/>
      <c r="E265" s="29"/>
      <c r="F265" s="25"/>
      <c r="G265" s="25"/>
    </row>
    <row r="266" spans="2:16" outlineLevel="1">
      <c r="B266" s="33" t="s">
        <v>1009</v>
      </c>
      <c r="C266" s="15" t="str">
        <f>_xlfn.TEXTJOIN(",",FALSE,D266:P266)</f>
        <v>[NO], 'PLC03.M.' &amp; [AL_L_DEVICE], 'PLC03_ANLG', [ALIAS_BASE], [ALIAS_BASE]  &amp; '_AL_L', 'AL_L', [COMMENT] &amp; '_AL_L', '0', '0', '', '0',[FP_TYPE],IIF([WORD_SIZE]='','',IIF([WORD_SIZE]='1W', 'BIN-16', 'BIN-32')) AS [BINALY]</v>
      </c>
      <c r="D266" s="32" t="s">
        <v>484</v>
      </c>
      <c r="E266" s="32" t="s">
        <v>1263</v>
      </c>
      <c r="F266" s="32" t="s">
        <v>1188</v>
      </c>
      <c r="G266" s="32" t="s">
        <v>487</v>
      </c>
      <c r="H266" s="32" t="s">
        <v>1199</v>
      </c>
      <c r="I266" s="32" t="s">
        <v>1220</v>
      </c>
      <c r="J266" s="32" t="s">
        <v>1241</v>
      </c>
      <c r="K266" s="32" t="s">
        <v>1183</v>
      </c>
      <c r="L266" s="32" t="s">
        <v>1183</v>
      </c>
      <c r="M266" s="32" t="s">
        <v>657</v>
      </c>
      <c r="N266" s="44" t="s">
        <v>1183</v>
      </c>
      <c r="O266" s="32" t="s">
        <v>488</v>
      </c>
      <c r="P266" s="32" t="s">
        <v>489</v>
      </c>
    </row>
    <row r="267" spans="2:16" outlineLevel="1">
      <c r="B267" s="16" t="s">
        <v>1010</v>
      </c>
      <c r="C267" s="22" t="s">
        <v>494</v>
      </c>
      <c r="D267" s="25"/>
      <c r="E267" s="29"/>
      <c r="F267" s="25"/>
      <c r="G267" s="25"/>
    </row>
    <row r="268" spans="2:16" outlineLevel="1">
      <c r="B268" s="33" t="s">
        <v>1011</v>
      </c>
      <c r="C268" s="22" t="s">
        <v>635</v>
      </c>
      <c r="D268" s="25"/>
      <c r="E268" s="25"/>
      <c r="F268" s="25"/>
      <c r="G268" s="25"/>
    </row>
    <row r="269" spans="2:16" outlineLevel="1">
      <c r="B269" s="33" t="s">
        <v>1012</v>
      </c>
      <c r="C269" s="15" t="str">
        <f>_xlfn.TEXTJOIN(",",FALSE,D269:P269)</f>
        <v>[NO], 'PLC03.M.' &amp; [AL_LL_DEVICE], 'PLC03_ANLG', [ALIAS_BASE], [ALIAS_BASE]  &amp; '_AL_LL', 'AL_LL', [COMMENT] &amp; '_AL_LL', '0', '0', '', '0',[FP_TYPE],IIF([WORD_SIZE]='','',IIF([WORD_SIZE]='1W', 'BIN-16', 'BIN-32')) AS [BINALY]</v>
      </c>
      <c r="D269" s="32" t="s">
        <v>484</v>
      </c>
      <c r="E269" s="32" t="s">
        <v>1264</v>
      </c>
      <c r="F269" s="32" t="s">
        <v>1188</v>
      </c>
      <c r="G269" s="32" t="s">
        <v>487</v>
      </c>
      <c r="H269" s="32" t="s">
        <v>1200</v>
      </c>
      <c r="I269" s="32" t="s">
        <v>1221</v>
      </c>
      <c r="J269" s="32" t="s">
        <v>1242</v>
      </c>
      <c r="K269" s="32" t="s">
        <v>1183</v>
      </c>
      <c r="L269" s="32" t="s">
        <v>1183</v>
      </c>
      <c r="M269" s="32" t="s">
        <v>657</v>
      </c>
      <c r="N269" s="44" t="s">
        <v>1183</v>
      </c>
      <c r="O269" s="32" t="s">
        <v>488</v>
      </c>
      <c r="P269" s="32" t="s">
        <v>489</v>
      </c>
    </row>
    <row r="270" spans="2:16" outlineLevel="1">
      <c r="B270" s="16" t="s">
        <v>1013</v>
      </c>
      <c r="C270" s="22" t="s">
        <v>494</v>
      </c>
      <c r="D270" s="25"/>
      <c r="E270" s="25"/>
      <c r="F270" s="25"/>
      <c r="G270" s="25"/>
    </row>
    <row r="271" spans="2:16" outlineLevel="1">
      <c r="B271" s="33" t="s">
        <v>1014</v>
      </c>
      <c r="C271" s="22" t="s">
        <v>636</v>
      </c>
      <c r="D271" s="25"/>
      <c r="E271" s="25"/>
      <c r="F271" s="25"/>
      <c r="G271" s="25"/>
    </row>
    <row r="272" spans="2:16" outlineLevel="1">
      <c r="B272" s="33" t="s">
        <v>1015</v>
      </c>
      <c r="C272" s="15" t="str">
        <f>_xlfn.TEXTJOIN(",",FALSE,D272:P272)</f>
        <v>[NO], 'PLC03.M.' &amp; [PLC_CAL_M_DEVICE], 'PLC03_ANLG', [ALIAS_BASE], [ALIAS_BASE]  &amp; '_PLC_CAL_M', 'PLC_CAL_M', [COMMENT] &amp; '_PLC_CAL_M', '0', '0', '', '0',[FP_TYPE],IIF([WORD_SIZE]='','',IIF([WORD_SIZE]='1W', 'BIN-16', 'BIN-32')) AS [BINALY]</v>
      </c>
      <c r="D272" s="32" t="s">
        <v>484</v>
      </c>
      <c r="E272" s="32" t="s">
        <v>1265</v>
      </c>
      <c r="F272" s="32" t="s">
        <v>1188</v>
      </c>
      <c r="G272" s="32" t="s">
        <v>487</v>
      </c>
      <c r="H272" s="32" t="s">
        <v>1201</v>
      </c>
      <c r="I272" s="32" t="s">
        <v>1222</v>
      </c>
      <c r="J272" s="32" t="s">
        <v>1243</v>
      </c>
      <c r="K272" s="32" t="s">
        <v>1183</v>
      </c>
      <c r="L272" s="32" t="s">
        <v>1183</v>
      </c>
      <c r="M272" s="32" t="s">
        <v>657</v>
      </c>
      <c r="N272" s="44" t="s">
        <v>1183</v>
      </c>
      <c r="O272" s="32" t="s">
        <v>488</v>
      </c>
      <c r="P272" s="32" t="s">
        <v>489</v>
      </c>
    </row>
    <row r="273" spans="2:16" outlineLevel="1">
      <c r="B273" s="16" t="s">
        <v>1016</v>
      </c>
      <c r="C273" s="22" t="s">
        <v>494</v>
      </c>
      <c r="D273" s="25"/>
      <c r="E273" s="25"/>
      <c r="F273" s="25"/>
      <c r="G273" s="25"/>
    </row>
    <row r="274" spans="2:16" outlineLevel="1">
      <c r="B274" s="33" t="s">
        <v>1017</v>
      </c>
      <c r="C274" s="22" t="s">
        <v>637</v>
      </c>
      <c r="D274" s="25"/>
      <c r="E274" s="25"/>
      <c r="F274" s="25"/>
      <c r="G274" s="25"/>
    </row>
    <row r="275" spans="2:16" outlineLevel="1">
      <c r="B275" s="33" t="s">
        <v>1018</v>
      </c>
      <c r="C275" s="15" t="str">
        <f>_xlfn.TEXTJOIN(",",FALSE,D275:P275)</f>
        <v>[NO], 'PLC03.M.' &amp; [PLC_H_DEVICE], 'PLC03_ANLG', [ALIAS_BASE], [ALIAS_BASE]  &amp; '_PLC_H', 'PLC_H', [COMMENT] &amp; '_PLC_H', '0', '0', '', '0',[FP_TYPE],IIF([WORD_SIZE]='','',IIF([WORD_SIZE]='1W', 'BIN-16', 'BIN-32')) AS [BINALY]</v>
      </c>
      <c r="D275" s="32" t="s">
        <v>484</v>
      </c>
      <c r="E275" s="32" t="s">
        <v>1266</v>
      </c>
      <c r="F275" s="32" t="s">
        <v>1188</v>
      </c>
      <c r="G275" s="32" t="s">
        <v>487</v>
      </c>
      <c r="H275" s="32" t="s">
        <v>1202</v>
      </c>
      <c r="I275" s="32" t="s">
        <v>1223</v>
      </c>
      <c r="J275" s="32" t="s">
        <v>1244</v>
      </c>
      <c r="K275" s="32" t="s">
        <v>1183</v>
      </c>
      <c r="L275" s="32" t="s">
        <v>1183</v>
      </c>
      <c r="M275" s="32" t="s">
        <v>657</v>
      </c>
      <c r="N275" s="44" t="s">
        <v>1183</v>
      </c>
      <c r="O275" s="32" t="s">
        <v>488</v>
      </c>
      <c r="P275" s="32" t="s">
        <v>489</v>
      </c>
    </row>
    <row r="276" spans="2:16" outlineLevel="1">
      <c r="B276" s="16" t="s">
        <v>1019</v>
      </c>
      <c r="C276" s="22" t="s">
        <v>494</v>
      </c>
      <c r="D276" s="25"/>
      <c r="E276" s="25"/>
      <c r="F276" s="25"/>
      <c r="G276" s="25"/>
    </row>
    <row r="277" spans="2:16" outlineLevel="1">
      <c r="B277" s="33" t="s">
        <v>1020</v>
      </c>
      <c r="C277" s="22" t="s">
        <v>638</v>
      </c>
      <c r="D277" s="25"/>
      <c r="E277" s="25"/>
      <c r="F277" s="25"/>
      <c r="G277" s="25"/>
    </row>
    <row r="278" spans="2:16" outlineLevel="1">
      <c r="B278" s="33" t="s">
        <v>1021</v>
      </c>
      <c r="C278" s="15" t="str">
        <f>_xlfn.TEXTJOIN(",",FALSE,D278:P278)</f>
        <v>[NO], 'PLC03.M.' &amp; [PLC_HH_DEVICE], 'PLC03_ANLG', [ALIAS_BASE], [ALIAS_BASE]  &amp; '_PLC_HH', 'PLC_HH', [COMMENT] &amp; '_PLC_HH', '0', '0', '', '0',[FP_TYPE],IIF([WORD_SIZE]='','',IIF([WORD_SIZE]='1W', 'BIN-16', 'BIN-32')) AS [BINALY]</v>
      </c>
      <c r="D278" s="32" t="s">
        <v>484</v>
      </c>
      <c r="E278" s="32" t="s">
        <v>1267</v>
      </c>
      <c r="F278" s="32" t="s">
        <v>1188</v>
      </c>
      <c r="G278" s="32" t="s">
        <v>487</v>
      </c>
      <c r="H278" s="32" t="s">
        <v>1203</v>
      </c>
      <c r="I278" s="32" t="s">
        <v>1224</v>
      </c>
      <c r="J278" s="32" t="s">
        <v>1245</v>
      </c>
      <c r="K278" s="32" t="s">
        <v>1183</v>
      </c>
      <c r="L278" s="32" t="s">
        <v>1183</v>
      </c>
      <c r="M278" s="32" t="s">
        <v>657</v>
      </c>
      <c r="N278" s="44" t="s">
        <v>1183</v>
      </c>
      <c r="O278" s="32" t="s">
        <v>488</v>
      </c>
      <c r="P278" s="32" t="s">
        <v>489</v>
      </c>
    </row>
    <row r="279" spans="2:16" outlineLevel="1">
      <c r="B279" s="16" t="s">
        <v>1022</v>
      </c>
      <c r="C279" s="22" t="s">
        <v>494</v>
      </c>
      <c r="D279" s="25"/>
      <c r="E279" s="25"/>
      <c r="F279" s="25"/>
      <c r="G279" s="25"/>
    </row>
    <row r="280" spans="2:16" outlineLevel="1">
      <c r="B280" s="33" t="s">
        <v>1023</v>
      </c>
      <c r="C280" s="22" t="s">
        <v>639</v>
      </c>
      <c r="D280" s="25"/>
      <c r="E280" s="25"/>
      <c r="F280" s="25"/>
      <c r="G280" s="25"/>
    </row>
    <row r="281" spans="2:16" outlineLevel="1">
      <c r="B281" s="33" t="s">
        <v>1024</v>
      </c>
      <c r="C281" s="15" t="str">
        <f>_xlfn.TEXTJOIN(",",FALSE,D281:P281)</f>
        <v>[NO], 'PLC03.M.' &amp; [PLC_L_DEVICE], 'PLC03_ANLG', [ALIAS_BASE], [ALIAS_BASE]  &amp; '_PLC_L', 'PLC_L', [COMMENT] &amp; '_PLC_L', '0', '0', '', '0',[FP_TYPE],IIF([WORD_SIZE]='','',IIF([WORD_SIZE]='1W', 'BIN-16', 'BIN-32')) AS [BINALY]</v>
      </c>
      <c r="D281" s="32" t="s">
        <v>484</v>
      </c>
      <c r="E281" s="32" t="s">
        <v>1268</v>
      </c>
      <c r="F281" s="32" t="s">
        <v>1188</v>
      </c>
      <c r="G281" s="32" t="s">
        <v>487</v>
      </c>
      <c r="H281" s="32" t="s">
        <v>1204</v>
      </c>
      <c r="I281" s="32" t="s">
        <v>1225</v>
      </c>
      <c r="J281" s="32" t="s">
        <v>1246</v>
      </c>
      <c r="K281" s="32" t="s">
        <v>1183</v>
      </c>
      <c r="L281" s="32" t="s">
        <v>1183</v>
      </c>
      <c r="M281" s="32" t="s">
        <v>657</v>
      </c>
      <c r="N281" s="44" t="s">
        <v>1183</v>
      </c>
      <c r="O281" s="32" t="s">
        <v>488</v>
      </c>
      <c r="P281" s="32" t="s">
        <v>489</v>
      </c>
    </row>
    <row r="282" spans="2:16" outlineLevel="1">
      <c r="B282" s="16" t="s">
        <v>1025</v>
      </c>
      <c r="C282" s="22" t="s">
        <v>494</v>
      </c>
      <c r="D282" s="25"/>
      <c r="E282" s="25"/>
      <c r="F282" s="25"/>
      <c r="G282" s="25"/>
    </row>
    <row r="283" spans="2:16" outlineLevel="1">
      <c r="B283" s="33" t="s">
        <v>1026</v>
      </c>
      <c r="C283" s="22" t="s">
        <v>640</v>
      </c>
      <c r="D283" s="25"/>
      <c r="E283" s="25"/>
      <c r="F283" s="25"/>
      <c r="G283" s="25"/>
    </row>
    <row r="284" spans="2:16" outlineLevel="1">
      <c r="B284" s="33" t="s">
        <v>1027</v>
      </c>
      <c r="C284" s="15" t="str">
        <f>_xlfn.TEXTJOIN(",",FALSE,D284:P284)</f>
        <v>[NO], 'PLC03.M.' &amp; [PLC_LL_DEVICE], 'PLC03_ANLG', [ALIAS_BASE], [ALIAS_BASE]  &amp; '_PLC_LL', 'PLC_LL', [COMMENT] &amp; '_PLC_LL', '0', '0', '', '0',[FP_TYPE],IIF([WORD_SIZE]='','',IIF([WORD_SIZE]='1W', 'BIN-16', 'BIN-32')) AS [BINALY]</v>
      </c>
      <c r="D284" s="32" t="s">
        <v>484</v>
      </c>
      <c r="E284" s="32" t="s">
        <v>1269</v>
      </c>
      <c r="F284" s="32" t="s">
        <v>1188</v>
      </c>
      <c r="G284" s="32" t="s">
        <v>487</v>
      </c>
      <c r="H284" s="32" t="s">
        <v>1205</v>
      </c>
      <c r="I284" s="32" t="s">
        <v>1226</v>
      </c>
      <c r="J284" s="32" t="s">
        <v>1247</v>
      </c>
      <c r="K284" s="32" t="s">
        <v>1183</v>
      </c>
      <c r="L284" s="32" t="s">
        <v>1183</v>
      </c>
      <c r="M284" s="32" t="s">
        <v>657</v>
      </c>
      <c r="N284" s="44" t="s">
        <v>1183</v>
      </c>
      <c r="O284" s="32" t="s">
        <v>488</v>
      </c>
      <c r="P284" s="32" t="s">
        <v>489</v>
      </c>
    </row>
    <row r="285" spans="2:16" outlineLevel="1">
      <c r="B285" s="16" t="s">
        <v>1028</v>
      </c>
      <c r="C285" s="22" t="s">
        <v>494</v>
      </c>
      <c r="D285" s="25"/>
      <c r="E285" s="25"/>
      <c r="F285" s="25"/>
      <c r="G285" s="25"/>
    </row>
    <row r="286" spans="2:16" outlineLevel="1">
      <c r="B286" s="33" t="s">
        <v>1029</v>
      </c>
      <c r="C286" s="22" t="s">
        <v>641</v>
      </c>
      <c r="D286" s="25"/>
      <c r="E286" s="25"/>
      <c r="F286" s="25"/>
      <c r="G286" s="25"/>
    </row>
    <row r="287" spans="2:16" outlineLevel="1">
      <c r="B287" s="33" t="s">
        <v>1030</v>
      </c>
      <c r="C287" s="15" t="str">
        <f>_xlfn.TEXTJOIN(",",FALSE,D287:P287)</f>
        <v>[NO], 'PLC03.R.' &amp; [MODE_DEVICE], 'PLC03_ANLG', [ALIAS_BASE], [ALIAS_BASE]  &amp; '_MODE', 'MODE', [COMMENT] &amp; '_A/M' , '0', '0', '', '0',[FP_TYPE],IIF([WORD_SIZE]='','',IIF([WORD_SIZE]='1W', 'BIN-16', 'BIN-32')) AS [BINALY]</v>
      </c>
      <c r="D287" s="32" t="s">
        <v>484</v>
      </c>
      <c r="E287" s="32" t="s">
        <v>1270</v>
      </c>
      <c r="F287" s="32" t="s">
        <v>1188</v>
      </c>
      <c r="G287" s="32" t="s">
        <v>487</v>
      </c>
      <c r="H287" s="32" t="s">
        <v>1206</v>
      </c>
      <c r="I287" s="32" t="s">
        <v>1227</v>
      </c>
      <c r="J287" s="32" t="s">
        <v>1248</v>
      </c>
      <c r="K287" s="32" t="s">
        <v>1183</v>
      </c>
      <c r="L287" s="32" t="s">
        <v>1183</v>
      </c>
      <c r="M287" s="32" t="s">
        <v>657</v>
      </c>
      <c r="N287" s="44" t="s">
        <v>1183</v>
      </c>
      <c r="O287" s="32" t="s">
        <v>488</v>
      </c>
      <c r="P287" s="32" t="s">
        <v>489</v>
      </c>
    </row>
    <row r="288" spans="2:16" outlineLevel="1">
      <c r="B288" s="16" t="s">
        <v>1031</v>
      </c>
      <c r="C288" s="22" t="s">
        <v>494</v>
      </c>
      <c r="D288" s="25"/>
      <c r="E288" s="25"/>
      <c r="F288" s="25"/>
      <c r="G288" s="25"/>
    </row>
    <row r="289" spans="1:16" outlineLevel="1">
      <c r="B289" s="33" t="s">
        <v>1032</v>
      </c>
      <c r="C289" s="22" t="s">
        <v>642</v>
      </c>
      <c r="D289" s="25"/>
      <c r="E289" s="25"/>
      <c r="F289" s="25"/>
      <c r="G289" s="25"/>
    </row>
    <row r="290" spans="1:16" outlineLevel="1">
      <c r="B290" s="33" t="s">
        <v>1033</v>
      </c>
      <c r="C290" s="15" t="str">
        <f>_xlfn.TEXTJOIN(",",FALSE,D290:P290)</f>
        <v>[NO], 'PLC03.R.' &amp; [P_DEVICE], 'PLC03_ANLG', [ALIAS_BASE], [ALIAS_BASE]  &amp; '_P', 'P', [COMMENT] &amp; '_P', '', '', '', '0',[FP_TYPE],IIF([WORD_SIZE]='','',IIF([WORD_SIZE]='1W', 'BIN-16', 'BIN-32')) AS [BINALY]</v>
      </c>
      <c r="D290" s="32" t="s">
        <v>484</v>
      </c>
      <c r="E290" s="32" t="s">
        <v>1271</v>
      </c>
      <c r="F290" s="32" t="s">
        <v>1188</v>
      </c>
      <c r="G290" s="32" t="s">
        <v>487</v>
      </c>
      <c r="H290" s="32" t="s">
        <v>1207</v>
      </c>
      <c r="I290" s="32" t="s">
        <v>1228</v>
      </c>
      <c r="J290" s="32" t="s">
        <v>1249</v>
      </c>
      <c r="K290" s="32" t="s">
        <v>657</v>
      </c>
      <c r="L290" s="32" t="s">
        <v>657</v>
      </c>
      <c r="M290" s="32" t="s">
        <v>657</v>
      </c>
      <c r="N290" s="44" t="s">
        <v>1183</v>
      </c>
      <c r="O290" s="32" t="s">
        <v>488</v>
      </c>
      <c r="P290" s="32" t="s">
        <v>489</v>
      </c>
    </row>
    <row r="291" spans="1:16" outlineLevel="1">
      <c r="B291" s="16" t="s">
        <v>1034</v>
      </c>
      <c r="C291" s="22" t="s">
        <v>494</v>
      </c>
      <c r="D291" s="25"/>
      <c r="E291" s="25"/>
      <c r="F291" s="25"/>
      <c r="G291" s="25"/>
    </row>
    <row r="292" spans="1:16" outlineLevel="1">
      <c r="B292" s="33" t="s">
        <v>1035</v>
      </c>
      <c r="C292" s="22" t="s">
        <v>643</v>
      </c>
      <c r="D292" s="25"/>
      <c r="E292" s="25"/>
      <c r="F292" s="25"/>
      <c r="G292" s="25"/>
    </row>
    <row r="293" spans="1:16" outlineLevel="1">
      <c r="B293" s="33" t="s">
        <v>1036</v>
      </c>
      <c r="C293" s="15" t="str">
        <f>_xlfn.TEXTJOIN(",",FALSE,D293:P293)</f>
        <v>[NO], 'PLC03.R.' &amp; [I_DEVICE], 'PLC03_ANLG', [ALIAS_BASE], [ALIAS_BASE]  &amp; '_I', 'I', [COMMENT] &amp; '_I', '', '', '', '1',[FP_TYPE],IIF([WORD_SIZE]='','',IIF([WORD_SIZE]='1W', 'BIN-16', 'BIN-32')) AS [BINALY]</v>
      </c>
      <c r="D293" s="32" t="s">
        <v>484</v>
      </c>
      <c r="E293" s="32" t="s">
        <v>1272</v>
      </c>
      <c r="F293" s="32" t="s">
        <v>1188</v>
      </c>
      <c r="G293" s="32" t="s">
        <v>487</v>
      </c>
      <c r="H293" s="32" t="s">
        <v>1208</v>
      </c>
      <c r="I293" s="32" t="s">
        <v>1229</v>
      </c>
      <c r="J293" s="32" t="s">
        <v>1250</v>
      </c>
      <c r="K293" s="32" t="s">
        <v>657</v>
      </c>
      <c r="L293" s="32" t="s">
        <v>657</v>
      </c>
      <c r="M293" s="32" t="s">
        <v>657</v>
      </c>
      <c r="N293" s="44" t="s">
        <v>1187</v>
      </c>
      <c r="O293" s="32" t="s">
        <v>488</v>
      </c>
      <c r="P293" s="32" t="s">
        <v>489</v>
      </c>
    </row>
    <row r="294" spans="1:16" outlineLevel="1">
      <c r="B294" s="16" t="s">
        <v>1037</v>
      </c>
      <c r="C294" s="22" t="s">
        <v>494</v>
      </c>
      <c r="D294" s="25"/>
      <c r="E294" s="25"/>
      <c r="F294" s="25"/>
      <c r="G294" s="25"/>
    </row>
    <row r="295" spans="1:16" outlineLevel="1">
      <c r="B295" s="33" t="s">
        <v>1038</v>
      </c>
      <c r="C295" s="22" t="s">
        <v>644</v>
      </c>
      <c r="D295" s="25"/>
      <c r="E295" s="25"/>
      <c r="F295" s="25"/>
      <c r="G295" s="25"/>
    </row>
    <row r="296" spans="1:16" outlineLevel="1">
      <c r="B296" s="33" t="s">
        <v>1039</v>
      </c>
      <c r="C296" s="15" t="str">
        <f>_xlfn.TEXTJOIN(",",FALSE,D296:P296)</f>
        <v>[NO], 'PLC03.R.' &amp; [D_DEVICE], 'PLC03_ANLG', [ALIAS_BASE], [ALIAS_BASE]  &amp; '_D', 'D', [COMMENT] &amp; '_D', '', '', '', '2',[FP_TYPE],IIF([WORD_SIZE]='','',IIF([WORD_SIZE]='1W', 'BIN-16', 'BIN-32')) AS [BINALY]</v>
      </c>
      <c r="D296" s="32" t="s">
        <v>484</v>
      </c>
      <c r="E296" s="32" t="s">
        <v>1273</v>
      </c>
      <c r="F296" s="32" t="s">
        <v>1188</v>
      </c>
      <c r="G296" s="32" t="s">
        <v>487</v>
      </c>
      <c r="H296" s="32" t="s">
        <v>1209</v>
      </c>
      <c r="I296" s="32" t="s">
        <v>1230</v>
      </c>
      <c r="J296" s="32" t="s">
        <v>1251</v>
      </c>
      <c r="K296" s="32" t="s">
        <v>657</v>
      </c>
      <c r="L296" s="32" t="s">
        <v>657</v>
      </c>
      <c r="M296" s="32" t="s">
        <v>657</v>
      </c>
      <c r="N296" s="44" t="s">
        <v>1186</v>
      </c>
      <c r="O296" s="32" t="s">
        <v>488</v>
      </c>
      <c r="P296" s="32" t="s">
        <v>489</v>
      </c>
    </row>
    <row r="297" spans="1:16" outlineLevel="1">
      <c r="B297" s="16" t="s">
        <v>1040</v>
      </c>
      <c r="C297" s="22" t="s">
        <v>494</v>
      </c>
      <c r="D297" s="25"/>
      <c r="E297" s="25"/>
      <c r="F297" s="25"/>
      <c r="G297" s="25"/>
    </row>
    <row r="298" spans="1:16" outlineLevel="1">
      <c r="B298" s="33" t="s">
        <v>1041</v>
      </c>
      <c r="C298" s="22" t="s">
        <v>645</v>
      </c>
      <c r="D298" s="25"/>
      <c r="E298" s="25"/>
      <c r="F298" s="25"/>
      <c r="G298" s="25"/>
    </row>
    <row r="299" spans="1:16" outlineLevel="1">
      <c r="B299" s="33" t="s">
        <v>1042</v>
      </c>
      <c r="C299" s="15" t="str">
        <f>_xlfn.TEXTJOIN(",",FALSE,D299:P299)</f>
        <v>[NO], 'PLC03.R.' &amp; [CAL_M_DEVICE], 'PLC03_ANLG', [ALIAS_BASE], [ALIAS_BASE]  &amp; '_CAL_M', 'CAL_M', [COMMENT] &amp; '_CAL_M', '0', '0', '', '0',[FP_TYPE],IIF([WORD_SIZE]='','',IIF([WORD_SIZE]='1W', 'BIN-16', 'BIN-32')) AS [BINALY]</v>
      </c>
      <c r="D299" s="32" t="s">
        <v>484</v>
      </c>
      <c r="E299" s="32" t="s">
        <v>1274</v>
      </c>
      <c r="F299" s="32" t="s">
        <v>1188</v>
      </c>
      <c r="G299" s="32" t="s">
        <v>487</v>
      </c>
      <c r="H299" s="32" t="s">
        <v>1210</v>
      </c>
      <c r="I299" s="32" t="s">
        <v>1231</v>
      </c>
      <c r="J299" s="32" t="s">
        <v>1252</v>
      </c>
      <c r="K299" s="32" t="s">
        <v>1183</v>
      </c>
      <c r="L299" s="32" t="s">
        <v>1183</v>
      </c>
      <c r="M299" s="32" t="s">
        <v>657</v>
      </c>
      <c r="N299" s="44" t="s">
        <v>1183</v>
      </c>
      <c r="O299" s="32" t="s">
        <v>488</v>
      </c>
      <c r="P299" s="32" t="s">
        <v>489</v>
      </c>
    </row>
    <row r="300" spans="1:16" outlineLevel="1">
      <c r="B300" s="16" t="s">
        <v>1043</v>
      </c>
      <c r="C300" s="22" t="s">
        <v>494</v>
      </c>
      <c r="D300" s="25"/>
      <c r="E300" s="25"/>
      <c r="F300" s="25"/>
      <c r="G300" s="25"/>
    </row>
    <row r="301" spans="1:16" outlineLevel="1">
      <c r="B301" s="33" t="s">
        <v>1044</v>
      </c>
      <c r="C301" s="22" t="s">
        <v>646</v>
      </c>
      <c r="D301" s="25"/>
      <c r="E301" s="25"/>
      <c r="F301" s="25"/>
      <c r="G301" s="25"/>
    </row>
    <row r="302" spans="1:16" outlineLevel="1">
      <c r="B302" s="33"/>
      <c r="E302" s="15"/>
      <c r="H302" s="16"/>
    </row>
    <row r="303" spans="1:16" outlineLevel="1">
      <c r="A303" s="22"/>
      <c r="E303" s="15"/>
      <c r="H303" s="16"/>
    </row>
    <row r="304" spans="1:16" outlineLevel="1">
      <c r="A304" s="16" t="s">
        <v>524</v>
      </c>
      <c r="E304" s="15"/>
      <c r="H304" s="16"/>
    </row>
    <row r="305" spans="1:16" outlineLevel="1">
      <c r="B305" s="16" t="s">
        <v>1045</v>
      </c>
      <c r="C305" s="22" t="s">
        <v>689</v>
      </c>
      <c r="D305" s="22" t="s">
        <v>699</v>
      </c>
      <c r="E305" s="22" t="s">
        <v>699</v>
      </c>
      <c r="F305" s="22" t="s">
        <v>699</v>
      </c>
      <c r="G305" s="22" t="s">
        <v>699</v>
      </c>
      <c r="H305" s="22" t="s">
        <v>699</v>
      </c>
      <c r="I305" s="22" t="s">
        <v>699</v>
      </c>
      <c r="J305" s="22" t="s">
        <v>699</v>
      </c>
      <c r="K305" s="22" t="s">
        <v>699</v>
      </c>
      <c r="L305" s="22" t="s">
        <v>699</v>
      </c>
      <c r="M305" s="22" t="s">
        <v>699</v>
      </c>
      <c r="N305" s="22" t="s">
        <v>699</v>
      </c>
      <c r="O305" s="22" t="s">
        <v>699</v>
      </c>
      <c r="P305" s="22" t="s">
        <v>699</v>
      </c>
    </row>
    <row r="306" spans="1:16" outlineLevel="1">
      <c r="A306" s="16" t="s">
        <v>189</v>
      </c>
      <c r="B306" s="33" t="str">
        <f>A306&amp;"SQL_PRESHT-ANLG_FILTER"</f>
        <v>//SQL_PRESHT-ANLG_FILTER</v>
      </c>
      <c r="D306" s="22">
        <v>1</v>
      </c>
      <c r="E306" s="22">
        <v>2</v>
      </c>
      <c r="F306" s="22">
        <v>3</v>
      </c>
      <c r="G306" s="22">
        <v>4</v>
      </c>
      <c r="H306" s="22">
        <v>5</v>
      </c>
      <c r="I306" s="22">
        <v>6</v>
      </c>
      <c r="J306" s="22">
        <v>7</v>
      </c>
      <c r="K306" s="22">
        <v>8</v>
      </c>
      <c r="L306" s="22">
        <v>9</v>
      </c>
      <c r="M306" s="22">
        <v>10</v>
      </c>
      <c r="N306" s="22">
        <v>11</v>
      </c>
      <c r="O306" s="22">
        <v>12</v>
      </c>
      <c r="P306" s="22">
        <v>13</v>
      </c>
    </row>
    <row r="307" spans="1:16" outlineLevel="1">
      <c r="B307" s="16" t="str">
        <f>A307&amp;"SQL_PRESHT-ANLG_SELECT"</f>
        <v>SQL_PRESHT-ANLG_SELECT</v>
      </c>
      <c r="C307" s="15" t="str">
        <f>_xlfn.TEXTJOIN(",",FALSE,D307:P307)</f>
        <v>[NO],[FULL_ADR],[SHEET],[ALIAS_BASE],[ALIAS],[TYPE],[COMMENT],[MIN],[MAX],[UNITS],[DECIMAL],[FP_TYPE],[BINALY]</v>
      </c>
      <c r="D307" s="15" t="s">
        <v>484</v>
      </c>
      <c r="E307" s="15" t="s">
        <v>518</v>
      </c>
      <c r="F307" s="15" t="s">
        <v>519</v>
      </c>
      <c r="G307" s="15" t="s">
        <v>523</v>
      </c>
      <c r="H307" s="15" t="s">
        <v>520</v>
      </c>
      <c r="I307" s="15" t="s">
        <v>521</v>
      </c>
      <c r="J307" s="15" t="s">
        <v>203</v>
      </c>
      <c r="K307" s="15" t="s">
        <v>1175</v>
      </c>
      <c r="L307" s="15" t="s">
        <v>1176</v>
      </c>
      <c r="M307" s="15" t="s">
        <v>485</v>
      </c>
      <c r="N307" s="15" t="s">
        <v>486</v>
      </c>
      <c r="O307" s="15" t="s">
        <v>488</v>
      </c>
      <c r="P307" s="15" t="s">
        <v>522</v>
      </c>
    </row>
    <row r="308" spans="1:16" outlineLevel="1">
      <c r="B308" s="16" t="str">
        <f>A308&amp;"SQL_PRESHT-ANLG_FROM"</f>
        <v>SQL_PRESHT-ANLG_FROM</v>
      </c>
      <c r="C308" s="22" t="s">
        <v>517</v>
      </c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outlineLevel="1">
      <c r="A309" s="16" t="s">
        <v>189</v>
      </c>
      <c r="B309" s="33" t="str">
        <f>A309&amp;"SQL_PRESHT-ANLG_CONDITION"</f>
        <v>//SQL_PRESHT-ANLG_CONDITION</v>
      </c>
      <c r="D309" s="15" t="s">
        <v>4</v>
      </c>
      <c r="E309" s="15" t="s">
        <v>4</v>
      </c>
      <c r="F309" s="15" t="s">
        <v>4</v>
      </c>
      <c r="G309" s="15" t="s">
        <v>4</v>
      </c>
      <c r="H309" s="15" t="s">
        <v>4</v>
      </c>
      <c r="I309" s="15" t="s">
        <v>4</v>
      </c>
      <c r="J309" s="15" t="s">
        <v>4</v>
      </c>
      <c r="K309" s="15" t="s">
        <v>4</v>
      </c>
      <c r="L309" s="15" t="s">
        <v>4</v>
      </c>
      <c r="M309" s="15" t="s">
        <v>4</v>
      </c>
      <c r="N309" s="15" t="s">
        <v>4</v>
      </c>
      <c r="O309" s="15" t="s">
        <v>4</v>
      </c>
      <c r="P309" s="15" t="s">
        <v>4</v>
      </c>
    </row>
    <row r="310" spans="1:16" outlineLevel="1">
      <c r="B310" s="33" t="str">
        <f>A310&amp;"SQL_PRESHT-ANLG_UNION-1_SELECT"</f>
        <v>SQL_PRESHT-ANLG_UNION-1_SELECT</v>
      </c>
      <c r="C310" s="15" t="str">
        <f>_xlfn.TEXTJOIN(",",FALSE,D310:P310)</f>
        <v>[NO],[FULL_ADR],[SHEET],[ALIAS_BASE],[ALIAS],[TYPE],[COMMENT],[MIN],[MAX],[UNITS],[DECIMAL],[FP_TYPE],[BINALY]</v>
      </c>
      <c r="D310" s="15" t="s">
        <v>484</v>
      </c>
      <c r="E310" s="15" t="s">
        <v>518</v>
      </c>
      <c r="F310" s="15" t="s">
        <v>519</v>
      </c>
      <c r="G310" s="15" t="s">
        <v>523</v>
      </c>
      <c r="H310" s="15" t="s">
        <v>520</v>
      </c>
      <c r="I310" s="15" t="s">
        <v>521</v>
      </c>
      <c r="J310" s="15" t="s">
        <v>203</v>
      </c>
      <c r="K310" s="15" t="s">
        <v>1175</v>
      </c>
      <c r="L310" s="15" t="s">
        <v>1176</v>
      </c>
      <c r="M310" s="15" t="s">
        <v>485</v>
      </c>
      <c r="N310" s="15" t="s">
        <v>486</v>
      </c>
      <c r="O310" s="15" t="s">
        <v>488</v>
      </c>
      <c r="P310" s="15" t="s">
        <v>522</v>
      </c>
    </row>
    <row r="311" spans="1:16" outlineLevel="1">
      <c r="B311" s="16" t="str">
        <f>A311&amp;"SQL_PRESHT-ANLG_UNION-1_FROM"</f>
        <v>SQL_PRESHT-ANLG_UNION-1_FROM</v>
      </c>
      <c r="C311" s="22" t="s">
        <v>516</v>
      </c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outlineLevel="1">
      <c r="A312" s="16" t="s">
        <v>189</v>
      </c>
      <c r="B312" s="33" t="str">
        <f>A312&amp;"SQL_PRESHT-ANLG_UNION-1_WHERE"</f>
        <v>//SQL_PRESHT-ANLG_UNION-1_WHERE</v>
      </c>
      <c r="D312" s="37"/>
      <c r="F312" s="16"/>
    </row>
    <row r="313" spans="1:16" outlineLevel="1">
      <c r="F313" s="16"/>
    </row>
    <row r="314" spans="1:16" outlineLevel="1">
      <c r="F314" s="16"/>
    </row>
    <row r="315" spans="1:16" outlineLevel="1">
      <c r="F315" s="16"/>
    </row>
    <row r="316" spans="1:16" outlineLevel="1">
      <c r="F316" s="16"/>
    </row>
    <row r="317" spans="1:16" outlineLevel="1">
      <c r="F317" s="16"/>
    </row>
    <row r="318" spans="1:16" s="42" customFormat="1" outlineLevel="1">
      <c r="A318" s="40"/>
      <c r="B318" s="40"/>
      <c r="C318" s="41"/>
      <c r="D318" s="41"/>
      <c r="E318" s="41"/>
      <c r="F318" s="41"/>
      <c r="G318" s="40"/>
      <c r="H318" s="40"/>
      <c r="N318" s="25"/>
    </row>
    <row r="319" spans="1:16" s="42" customFormat="1" outlineLevel="1">
      <c r="A319" s="40"/>
      <c r="B319" s="40"/>
      <c r="C319" s="41"/>
      <c r="D319" s="41"/>
      <c r="E319" s="41"/>
      <c r="F319" s="41"/>
      <c r="G319" s="40"/>
      <c r="N319" s="25"/>
    </row>
    <row r="320" spans="1:16" s="42" customFormat="1" outlineLevel="1">
      <c r="A320" s="40"/>
      <c r="B320" s="40"/>
      <c r="C320" s="41"/>
      <c r="D320" s="41"/>
      <c r="E320" s="43"/>
      <c r="F320" s="41"/>
      <c r="G320" s="40"/>
      <c r="N320" s="25"/>
    </row>
    <row r="321" spans="1:8" outlineLevel="1">
      <c r="B321" s="7"/>
      <c r="D321" s="36"/>
      <c r="E321" s="36"/>
    </row>
    <row r="322" spans="1:8" outlineLevel="1">
      <c r="A322" s="16" t="s">
        <v>524</v>
      </c>
      <c r="B322" s="7"/>
      <c r="D322" s="36"/>
      <c r="E322" s="36"/>
    </row>
    <row r="323" spans="1:8" outlineLevel="1">
      <c r="B323" s="34"/>
      <c r="D323" s="37"/>
      <c r="E323" s="36"/>
    </row>
    <row r="324" spans="1:8" outlineLevel="1">
      <c r="B324" s="34"/>
      <c r="D324" s="37"/>
      <c r="E324" s="36"/>
    </row>
    <row r="325" spans="1:8">
      <c r="A325" s="16" t="s">
        <v>648</v>
      </c>
      <c r="B325" s="34"/>
      <c r="D325" s="36"/>
      <c r="E325" s="36"/>
    </row>
    <row r="326" spans="1:8">
      <c r="B326" s="34"/>
      <c r="D326" s="36"/>
      <c r="E326" s="36"/>
    </row>
    <row r="327" spans="1:8">
      <c r="A327" s="16" t="s">
        <v>675</v>
      </c>
      <c r="B327" s="7"/>
      <c r="D327" s="36"/>
      <c r="E327" s="36"/>
    </row>
    <row r="328" spans="1:8" outlineLevel="1">
      <c r="A328" s="24" t="s">
        <v>19</v>
      </c>
      <c r="B328" s="7" t="s">
        <v>1046</v>
      </c>
      <c r="C328" s="32" t="s">
        <v>567</v>
      </c>
      <c r="D328" s="36"/>
      <c r="E328" s="36"/>
      <c r="F328" s="32"/>
      <c r="G328" s="25"/>
    </row>
    <row r="329" spans="1:8" outlineLevel="1">
      <c r="A329" s="24" t="s">
        <v>19</v>
      </c>
      <c r="B329" s="7" t="s">
        <v>1047</v>
      </c>
      <c r="C329" s="36" t="str">
        <f>_xlfn.TEXTJOIN(",",TRUE,D329:XFD329)</f>
        <v>[FULL_ADR],[Form],[Folder],[_TagIn] As [TagIn],  'p_r_valve' AS [P_TYPE]</v>
      </c>
      <c r="D329" s="25" t="s">
        <v>518</v>
      </c>
      <c r="E329" s="36" t="s">
        <v>591</v>
      </c>
      <c r="F329" s="36" t="s">
        <v>593</v>
      </c>
      <c r="G329" s="32" t="s">
        <v>594</v>
      </c>
      <c r="H329" s="44" t="s">
        <v>604</v>
      </c>
    </row>
    <row r="330" spans="1:8" outlineLevel="1">
      <c r="A330" s="24" t="s">
        <v>19</v>
      </c>
      <c r="B330" s="7" t="s">
        <v>1048</v>
      </c>
      <c r="C330" s="32" t="s">
        <v>566</v>
      </c>
      <c r="D330" s="25"/>
      <c r="E330" s="36"/>
      <c r="F330" s="36"/>
      <c r="G330" s="32"/>
    </row>
    <row r="331" spans="1:8" outlineLevel="1">
      <c r="A331" s="24" t="s">
        <v>19</v>
      </c>
      <c r="B331" s="34" t="s">
        <v>1049</v>
      </c>
      <c r="C331" s="36" t="str">
        <f>_xlfn.TEXTJOIN(",",TRUE,D331:XFD331)</f>
        <v>[FULL_ADR],[Form],[Folder],[_TagIn], 'p_r_pump'</v>
      </c>
      <c r="D331" s="25" t="s">
        <v>518</v>
      </c>
      <c r="E331" s="36" t="s">
        <v>591</v>
      </c>
      <c r="F331" s="36" t="s">
        <v>593</v>
      </c>
      <c r="G331" s="32" t="s">
        <v>592</v>
      </c>
      <c r="H331" s="44" t="s">
        <v>599</v>
      </c>
    </row>
    <row r="332" spans="1:8" outlineLevel="1">
      <c r="A332" s="24" t="s">
        <v>19</v>
      </c>
      <c r="B332" s="7" t="s">
        <v>1050</v>
      </c>
      <c r="C332" s="32" t="s">
        <v>568</v>
      </c>
      <c r="D332" s="25"/>
      <c r="E332" s="36"/>
      <c r="F332" s="36"/>
      <c r="G332" s="32"/>
    </row>
    <row r="333" spans="1:8" outlineLevel="1">
      <c r="A333" s="24" t="s">
        <v>19</v>
      </c>
      <c r="B333" s="7" t="s">
        <v>1051</v>
      </c>
      <c r="C333" s="36" t="str">
        <f>_xlfn.TEXTJOIN(",",TRUE,D333:XFD333)</f>
        <v>[FULL_ADR],[Form],[Folder],[_TagInPV], 'p_r_pvsv'</v>
      </c>
      <c r="D333" s="25" t="s">
        <v>518</v>
      </c>
      <c r="E333" s="36" t="s">
        <v>591</v>
      </c>
      <c r="F333" s="36" t="s">
        <v>593</v>
      </c>
      <c r="G333" s="32" t="s">
        <v>595</v>
      </c>
      <c r="H333" s="44" t="s">
        <v>598</v>
      </c>
    </row>
    <row r="334" spans="1:8" outlineLevel="1">
      <c r="A334" s="24" t="s">
        <v>19</v>
      </c>
      <c r="B334" s="7" t="s">
        <v>1052</v>
      </c>
      <c r="C334" s="32" t="s">
        <v>569</v>
      </c>
      <c r="D334" s="25"/>
      <c r="E334" s="36"/>
      <c r="F334" s="36"/>
      <c r="G334" s="32"/>
    </row>
    <row r="335" spans="1:8" outlineLevel="1">
      <c r="A335" s="24" t="s">
        <v>19</v>
      </c>
      <c r="B335" s="7" t="s">
        <v>1053</v>
      </c>
      <c r="C335" s="36" t="str">
        <f>_xlfn.TEXTJOIN(",",TRUE,D335:XFD335)</f>
        <v>[FULL_ADR],[Form],[Folder],[_TagInSV], 'p_r_pvsv'</v>
      </c>
      <c r="D335" s="25" t="s">
        <v>518</v>
      </c>
      <c r="E335" s="36" t="s">
        <v>591</v>
      </c>
      <c r="F335" s="36" t="s">
        <v>593</v>
      </c>
      <c r="G335" s="32" t="s">
        <v>596</v>
      </c>
      <c r="H335" s="44" t="s">
        <v>598</v>
      </c>
    </row>
    <row r="336" spans="1:8" outlineLevel="1">
      <c r="A336" s="24" t="s">
        <v>19</v>
      </c>
      <c r="B336" s="7" t="s">
        <v>1054</v>
      </c>
      <c r="C336" s="32" t="s">
        <v>569</v>
      </c>
      <c r="D336" s="25"/>
      <c r="E336" s="36"/>
      <c r="F336" s="36"/>
      <c r="G336" s="32"/>
      <c r="H336" s="32"/>
    </row>
    <row r="337" spans="1:11" outlineLevel="1">
      <c r="A337" s="24" t="s">
        <v>19</v>
      </c>
      <c r="B337" s="7" t="s">
        <v>1055</v>
      </c>
      <c r="C337" s="36" t="str">
        <f>_xlfn.TEXTJOIN(",",TRUE,D337:XFD337)</f>
        <v>[FULL_ADR],[Form],[Folder],[_TagIn], 'p_r_Alm'</v>
      </c>
      <c r="D337" s="25" t="s">
        <v>518</v>
      </c>
      <c r="E337" s="36" t="s">
        <v>591</v>
      </c>
      <c r="F337" s="36" t="s">
        <v>593</v>
      </c>
      <c r="G337" s="32" t="s">
        <v>592</v>
      </c>
      <c r="H337" s="32" t="s">
        <v>600</v>
      </c>
      <c r="J337" s="32"/>
    </row>
    <row r="338" spans="1:11" outlineLevel="1">
      <c r="A338" s="24" t="s">
        <v>19</v>
      </c>
      <c r="B338" s="7" t="s">
        <v>1056</v>
      </c>
      <c r="C338" s="32" t="s">
        <v>570</v>
      </c>
      <c r="D338" s="25"/>
      <c r="E338" s="36"/>
      <c r="F338" s="36"/>
      <c r="G338" s="32"/>
      <c r="H338" s="32"/>
    </row>
    <row r="339" spans="1:11" outlineLevel="1">
      <c r="A339" s="24" t="s">
        <v>19</v>
      </c>
      <c r="B339" s="7" t="s">
        <v>1057</v>
      </c>
      <c r="C339" s="36" t="str">
        <f>_xlfn.TEXTJOIN(",",TRUE,D339:XFD339)</f>
        <v>[FULL_ADR],[Form],[Folder],[_TagIn2], 'p_r_Alm'</v>
      </c>
      <c r="D339" s="25" t="s">
        <v>518</v>
      </c>
      <c r="E339" s="36" t="s">
        <v>591</v>
      </c>
      <c r="F339" s="36" t="s">
        <v>593</v>
      </c>
      <c r="G339" s="32" t="s">
        <v>597</v>
      </c>
      <c r="H339" s="32" t="s">
        <v>600</v>
      </c>
    </row>
    <row r="340" spans="1:11" outlineLevel="1">
      <c r="A340" s="24" t="s">
        <v>19</v>
      </c>
      <c r="B340" s="7" t="s">
        <v>1058</v>
      </c>
      <c r="C340" s="32" t="s">
        <v>570</v>
      </c>
      <c r="D340" s="25"/>
      <c r="E340" s="25"/>
      <c r="F340" s="25"/>
      <c r="G340" s="25"/>
    </row>
    <row r="341" spans="1:11" outlineLevel="1">
      <c r="A341" s="24" t="s">
        <v>19</v>
      </c>
      <c r="B341" s="7"/>
      <c r="C341" s="32"/>
      <c r="D341" s="36"/>
      <c r="E341" s="36"/>
      <c r="F341" s="32"/>
      <c r="G341" s="25"/>
    </row>
    <row r="342" spans="1:11" outlineLevel="1">
      <c r="A342" s="24" t="s">
        <v>19</v>
      </c>
      <c r="B342" s="7"/>
      <c r="C342" s="32"/>
      <c r="D342" s="36"/>
      <c r="E342" s="36"/>
      <c r="F342" s="32"/>
      <c r="G342" s="25"/>
    </row>
    <row r="343" spans="1:11" outlineLevel="1">
      <c r="A343" s="24" t="s">
        <v>19</v>
      </c>
      <c r="B343" s="7" t="s">
        <v>1059</v>
      </c>
      <c r="C343" s="32" t="s">
        <v>670</v>
      </c>
      <c r="D343" s="36"/>
      <c r="E343" s="36"/>
      <c r="F343" s="32"/>
      <c r="G343" s="25"/>
    </row>
    <row r="344" spans="1:11" outlineLevel="1">
      <c r="A344" s="24" t="s">
        <v>19</v>
      </c>
      <c r="B344" s="7" t="s">
        <v>1060</v>
      </c>
      <c r="C344" s="22" t="s">
        <v>659</v>
      </c>
      <c r="D344" s="36"/>
      <c r="E344" s="36"/>
    </row>
    <row r="345" spans="1:11" outlineLevel="1">
      <c r="A345" s="24" t="s">
        <v>19</v>
      </c>
      <c r="B345" s="7" t="s">
        <v>1061</v>
      </c>
      <c r="C345" s="22" t="str">
        <f>_xlfn.TEXTJOIN(",",TRUE,D345:XFD345)</f>
        <v>PRE.[FULL_ADR],PRE.[Form],PRE.[Folder],PRE.[TagIn],PRE.[P_TYPE],SVR.[COMMENT],SVR.[DECIMAL],SVR.[BINALY]</v>
      </c>
      <c r="D345" s="25" t="s">
        <v>664</v>
      </c>
      <c r="E345" s="36" t="s">
        <v>665</v>
      </c>
      <c r="F345" s="36" t="s">
        <v>666</v>
      </c>
      <c r="G345" s="32" t="s">
        <v>667</v>
      </c>
      <c r="H345" s="44" t="s">
        <v>668</v>
      </c>
      <c r="I345" s="25" t="s">
        <v>671</v>
      </c>
      <c r="J345" s="25" t="s">
        <v>673</v>
      </c>
      <c r="K345" s="25" t="s">
        <v>674</v>
      </c>
    </row>
    <row r="346" spans="1:11" outlineLevel="1">
      <c r="A346" s="24" t="s">
        <v>19</v>
      </c>
      <c r="B346" s="7" t="s">
        <v>1062</v>
      </c>
      <c r="C346" s="22" t="s">
        <v>669</v>
      </c>
      <c r="D346" s="45"/>
      <c r="E346" s="36"/>
    </row>
    <row r="347" spans="1:11" outlineLevel="1">
      <c r="A347" s="24" t="s">
        <v>19</v>
      </c>
      <c r="B347" s="7" t="s">
        <v>1063</v>
      </c>
      <c r="C347" s="22" t="s">
        <v>672</v>
      </c>
      <c r="D347" s="45"/>
      <c r="E347" s="45"/>
      <c r="F347" s="45"/>
      <c r="G347" s="45"/>
      <c r="H347" s="45"/>
    </row>
    <row r="348" spans="1:11" outlineLevel="1">
      <c r="A348" s="24" t="s">
        <v>19</v>
      </c>
      <c r="B348" s="7" t="s">
        <v>1064</v>
      </c>
      <c r="C348" s="22" t="s">
        <v>518</v>
      </c>
      <c r="D348" s="45"/>
      <c r="E348" s="36"/>
    </row>
    <row r="349" spans="1:11" outlineLevel="1">
      <c r="D349" s="45"/>
      <c r="E349" s="36"/>
    </row>
    <row r="350" spans="1:11">
      <c r="A350" s="16" t="s">
        <v>676</v>
      </c>
      <c r="B350" s="7"/>
      <c r="E350" s="36"/>
    </row>
    <row r="351" spans="1:11">
      <c r="B351" s="7"/>
      <c r="D351" s="36"/>
      <c r="E351" s="36"/>
    </row>
    <row r="352" spans="1:11">
      <c r="A352" s="16" t="s">
        <v>660</v>
      </c>
      <c r="B352" s="7"/>
      <c r="D352" s="36"/>
      <c r="E352" s="36"/>
    </row>
    <row r="353" spans="1:14" outlineLevel="1">
      <c r="B353" s="7"/>
      <c r="D353" s="36"/>
      <c r="E353" s="36"/>
    </row>
    <row r="354" spans="1:14" outlineLevel="1">
      <c r="A354" s="15"/>
      <c r="B354" s="7" t="s">
        <v>1065</v>
      </c>
      <c r="C354" s="22" t="s">
        <v>658</v>
      </c>
      <c r="D354" s="38" t="s">
        <v>699</v>
      </c>
    </row>
    <row r="355" spans="1:14" ht="45" outlineLevel="1">
      <c r="A355" s="22"/>
      <c r="B355" s="7" t="s">
        <v>1066</v>
      </c>
      <c r="C355" s="46" t="s">
        <v>662</v>
      </c>
      <c r="D355" s="38" t="s">
        <v>699</v>
      </c>
    </row>
    <row r="356" spans="1:14" outlineLevel="1">
      <c r="A356" s="22"/>
      <c r="B356" s="7" t="s">
        <v>1067</v>
      </c>
      <c r="C356" s="22" t="s">
        <v>663</v>
      </c>
      <c r="D356" s="38" t="s">
        <v>699</v>
      </c>
    </row>
    <row r="357" spans="1:14" outlineLevel="1">
      <c r="A357" s="22"/>
      <c r="B357" s="7" t="s">
        <v>1068</v>
      </c>
      <c r="C357" s="22" t="s">
        <v>653</v>
      </c>
      <c r="D357" s="38" t="s">
        <v>699</v>
      </c>
      <c r="G357" s="22"/>
      <c r="I357" s="22"/>
    </row>
    <row r="358" spans="1:14" outlineLevel="1">
      <c r="A358" s="22"/>
      <c r="B358" s="7" t="s">
        <v>1069</v>
      </c>
      <c r="C358" s="22" t="s">
        <v>746</v>
      </c>
      <c r="D358" s="38" t="s">
        <v>699</v>
      </c>
      <c r="G358" s="22"/>
      <c r="I358" s="22"/>
    </row>
    <row r="359" spans="1:14" outlineLevel="1">
      <c r="A359" s="22"/>
      <c r="B359" s="7" t="s">
        <v>1070</v>
      </c>
      <c r="C359" s="22" t="s">
        <v>654</v>
      </c>
      <c r="D359" s="38" t="s">
        <v>699</v>
      </c>
      <c r="G359" s="22"/>
      <c r="N359" s="25" t="s">
        <v>702</v>
      </c>
    </row>
    <row r="360" spans="1:14" outlineLevel="1">
      <c r="A360" s="22"/>
      <c r="B360" s="25"/>
      <c r="C360" s="25"/>
      <c r="G360" s="22"/>
      <c r="N360" s="25" t="s">
        <v>703</v>
      </c>
    </row>
    <row r="361" spans="1:14" outlineLevel="1">
      <c r="B361" s="7"/>
      <c r="D361" s="36"/>
      <c r="E361" s="36"/>
      <c r="N361" s="25" t="s">
        <v>700</v>
      </c>
    </row>
    <row r="362" spans="1:14">
      <c r="A362" s="16" t="s">
        <v>661</v>
      </c>
      <c r="B362" s="7"/>
      <c r="D362" s="36"/>
      <c r="E362" s="36"/>
      <c r="N362" s="25" t="s">
        <v>704</v>
      </c>
    </row>
    <row r="363" spans="1:14">
      <c r="B363" s="7"/>
      <c r="C363" s="46"/>
      <c r="D363" s="36"/>
      <c r="E363" s="36"/>
      <c r="N363" s="25" t="s">
        <v>700</v>
      </c>
    </row>
    <row r="364" spans="1:14">
      <c r="B364" s="7"/>
      <c r="C364" s="46"/>
      <c r="D364" s="36"/>
      <c r="E364" s="36"/>
      <c r="N364" s="25" t="s">
        <v>700</v>
      </c>
    </row>
    <row r="365" spans="1:14">
      <c r="A365" s="16" t="s">
        <v>677</v>
      </c>
      <c r="B365" s="7"/>
      <c r="C365" s="46"/>
      <c r="D365" s="36"/>
      <c r="E365" s="36"/>
      <c r="N365" s="25" t="s">
        <v>705</v>
      </c>
    </row>
    <row r="366" spans="1:14">
      <c r="B366" s="7"/>
      <c r="C366" s="46"/>
      <c r="D366" s="36"/>
      <c r="E366" s="36"/>
      <c r="N366" s="25" t="s">
        <v>700</v>
      </c>
    </row>
    <row r="367" spans="1:14" outlineLevel="1">
      <c r="B367" s="16" t="s">
        <v>1071</v>
      </c>
      <c r="C367" s="22" t="s">
        <v>679</v>
      </c>
      <c r="D367" s="15"/>
      <c r="G367" s="22"/>
      <c r="H367" s="22"/>
      <c r="I367" s="32"/>
      <c r="J367" s="32"/>
      <c r="N367" s="25" t="s">
        <v>706</v>
      </c>
    </row>
    <row r="368" spans="1:14" outlineLevel="1">
      <c r="B368" s="33" t="s">
        <v>1072</v>
      </c>
      <c r="C368" s="22" t="s">
        <v>685</v>
      </c>
      <c r="D368" s="15"/>
      <c r="G368" s="22"/>
      <c r="H368" s="16"/>
      <c r="N368" s="25" t="s">
        <v>707</v>
      </c>
    </row>
    <row r="369" spans="2:14" outlineLevel="1">
      <c r="B369" s="16" t="s">
        <v>1073</v>
      </c>
      <c r="C369" s="22" t="s">
        <v>680</v>
      </c>
      <c r="D369" s="22" t="s">
        <v>192</v>
      </c>
      <c r="E369" s="15"/>
      <c r="G369" s="22"/>
      <c r="H369" s="22"/>
      <c r="I369" s="32"/>
      <c r="J369" s="32"/>
      <c r="N369" s="25" t="s">
        <v>708</v>
      </c>
    </row>
    <row r="370" spans="2:14" outlineLevel="1">
      <c r="B370" s="16" t="s">
        <v>1074</v>
      </c>
      <c r="C370" s="22" t="str">
        <f>D369</f>
        <v>[DB_FP_AI $]</v>
      </c>
      <c r="D370" s="25"/>
      <c r="G370" s="22"/>
      <c r="H370" s="22"/>
      <c r="I370" s="32"/>
      <c r="J370" s="32"/>
      <c r="N370" s="25" t="s">
        <v>709</v>
      </c>
    </row>
    <row r="371" spans="2:14" outlineLevel="1">
      <c r="B371" s="33" t="s">
        <v>1075</v>
      </c>
      <c r="D371" s="25"/>
      <c r="G371" s="22"/>
      <c r="H371" s="16"/>
      <c r="N371" s="25" t="s">
        <v>710</v>
      </c>
    </row>
    <row r="372" spans="2:14" outlineLevel="1">
      <c r="B372" s="33" t="s">
        <v>1076</v>
      </c>
      <c r="C372" s="22" t="s">
        <v>680</v>
      </c>
      <c r="D372" s="22" t="s">
        <v>193</v>
      </c>
      <c r="E372" s="15"/>
      <c r="G372" s="22"/>
      <c r="H372" s="16"/>
      <c r="N372" s="25" t="s">
        <v>711</v>
      </c>
    </row>
    <row r="373" spans="2:14" outlineLevel="1">
      <c r="B373" s="16" t="s">
        <v>1077</v>
      </c>
      <c r="C373" s="22" t="str">
        <f>D372</f>
        <v>[DB_FP_AI_AL4$]</v>
      </c>
      <c r="D373" s="25"/>
      <c r="G373" s="22"/>
      <c r="H373" s="16"/>
      <c r="N373" s="25" t="s">
        <v>712</v>
      </c>
    </row>
    <row r="374" spans="2:14" outlineLevel="1">
      <c r="B374" s="16" t="s">
        <v>1078</v>
      </c>
      <c r="D374" s="25"/>
      <c r="G374" s="22"/>
      <c r="H374" s="16"/>
      <c r="N374" s="25" t="s">
        <v>713</v>
      </c>
    </row>
    <row r="375" spans="2:14" outlineLevel="1">
      <c r="B375" s="33" t="s">
        <v>1079</v>
      </c>
      <c r="C375" s="22" t="s">
        <v>680</v>
      </c>
      <c r="D375" s="22" t="s">
        <v>194</v>
      </c>
      <c r="G375" s="22"/>
      <c r="H375" s="16"/>
      <c r="N375" s="25" t="s">
        <v>714</v>
      </c>
    </row>
    <row r="376" spans="2:14" outlineLevel="1">
      <c r="B376" s="16" t="s">
        <v>1080</v>
      </c>
      <c r="C376" s="22" t="str">
        <f>D375</f>
        <v>[DB_FP_AI_Q$]</v>
      </c>
      <c r="D376" s="25"/>
      <c r="E376" s="35"/>
      <c r="G376" s="35"/>
      <c r="H376" s="22" t="s">
        <v>4</v>
      </c>
      <c r="N376" s="25" t="s">
        <v>715</v>
      </c>
    </row>
    <row r="377" spans="2:14" outlineLevel="1">
      <c r="B377" s="16" t="s">
        <v>1081</v>
      </c>
      <c r="D377" s="25"/>
      <c r="G377" s="22"/>
      <c r="H377" s="22" t="s">
        <v>4</v>
      </c>
      <c r="N377" s="25" t="s">
        <v>716</v>
      </c>
    </row>
    <row r="378" spans="2:14" outlineLevel="1">
      <c r="B378" s="33" t="s">
        <v>1082</v>
      </c>
      <c r="C378" s="22" t="s">
        <v>680</v>
      </c>
      <c r="D378" s="22" t="s">
        <v>195</v>
      </c>
      <c r="E378" s="35"/>
      <c r="G378" s="35"/>
      <c r="H378" s="22" t="s">
        <v>4</v>
      </c>
      <c r="N378" s="25" t="s">
        <v>717</v>
      </c>
    </row>
    <row r="379" spans="2:14" outlineLevel="1">
      <c r="B379" s="16" t="s">
        <v>1083</v>
      </c>
      <c r="C379" s="22" t="str">
        <f>D378</f>
        <v>[DB_FP_AI_SV $]</v>
      </c>
      <c r="D379" s="25"/>
      <c r="E379" s="35"/>
      <c r="G379" s="35"/>
      <c r="H379" s="22" t="s">
        <v>4</v>
      </c>
      <c r="N379" s="25" t="s">
        <v>718</v>
      </c>
    </row>
    <row r="380" spans="2:14" outlineLevel="1">
      <c r="B380" s="16" t="s">
        <v>1084</v>
      </c>
      <c r="D380" s="25"/>
      <c r="E380" s="35"/>
      <c r="G380" s="35"/>
      <c r="H380" s="22" t="s">
        <v>4</v>
      </c>
      <c r="N380" s="25" t="s">
        <v>719</v>
      </c>
    </row>
    <row r="381" spans="2:14" outlineLevel="1">
      <c r="B381" s="33" t="s">
        <v>1085</v>
      </c>
      <c r="C381" s="22" t="s">
        <v>680</v>
      </c>
      <c r="D381" s="22" t="s">
        <v>196</v>
      </c>
      <c r="E381" s="35"/>
      <c r="G381" s="35"/>
      <c r="H381" s="22" t="s">
        <v>4</v>
      </c>
      <c r="N381" s="25" t="s">
        <v>720</v>
      </c>
    </row>
    <row r="382" spans="2:14" outlineLevel="1">
      <c r="B382" s="16" t="s">
        <v>1086</v>
      </c>
      <c r="C382" s="22" t="str">
        <f>D381</f>
        <v>[DB_FP_AI_SV2$]</v>
      </c>
      <c r="D382" s="25"/>
      <c r="E382" s="35"/>
      <c r="G382" s="22"/>
      <c r="H382" s="22" t="s">
        <v>4</v>
      </c>
      <c r="N382" s="25" t="s">
        <v>721</v>
      </c>
    </row>
    <row r="383" spans="2:14" outlineLevel="1">
      <c r="B383" s="16" t="s">
        <v>1087</v>
      </c>
      <c r="D383" s="25"/>
      <c r="G383" s="22"/>
      <c r="H383" s="16"/>
      <c r="N383" s="25" t="s">
        <v>722</v>
      </c>
    </row>
    <row r="384" spans="2:14" outlineLevel="1">
      <c r="B384" s="33" t="s">
        <v>1088</v>
      </c>
      <c r="C384" s="22" t="s">
        <v>680</v>
      </c>
      <c r="D384" s="22" t="s">
        <v>197</v>
      </c>
      <c r="G384" s="22"/>
      <c r="H384" s="16"/>
      <c r="N384" s="25" t="s">
        <v>723</v>
      </c>
    </row>
    <row r="385" spans="1:14" outlineLevel="1">
      <c r="B385" s="16" t="s">
        <v>1089</v>
      </c>
      <c r="C385" s="22" t="str">
        <f>D384</f>
        <v>[DB_FP_AI_SV3$]</v>
      </c>
      <c r="D385" s="25"/>
      <c r="G385" s="22"/>
      <c r="H385" s="16"/>
      <c r="N385" s="25" t="s">
        <v>724</v>
      </c>
    </row>
    <row r="386" spans="1:14" outlineLevel="1">
      <c r="B386" s="16" t="s">
        <v>1090</v>
      </c>
      <c r="D386" s="25"/>
      <c r="G386" s="22"/>
      <c r="H386" s="16"/>
      <c r="N386" s="25" t="s">
        <v>725</v>
      </c>
    </row>
    <row r="387" spans="1:14" outlineLevel="1">
      <c r="B387" s="33" t="s">
        <v>1091</v>
      </c>
      <c r="C387" s="22" t="s">
        <v>680</v>
      </c>
      <c r="D387" s="22" t="s">
        <v>198</v>
      </c>
      <c r="G387" s="22"/>
      <c r="H387" s="16"/>
      <c r="N387" s="25" t="s">
        <v>726</v>
      </c>
    </row>
    <row r="388" spans="1:14" outlineLevel="1">
      <c r="B388" s="16" t="s">
        <v>1092</v>
      </c>
      <c r="C388" s="22" t="str">
        <f>D387</f>
        <v>[DB_FP_PID$]</v>
      </c>
      <c r="D388" s="25"/>
      <c r="G388" s="22"/>
      <c r="H388" s="16"/>
      <c r="N388" s="25" t="s">
        <v>727</v>
      </c>
    </row>
    <row r="389" spans="1:14" outlineLevel="1">
      <c r="B389" s="16" t="s">
        <v>1093</v>
      </c>
      <c r="D389" s="25"/>
      <c r="G389" s="22"/>
      <c r="H389" s="16"/>
      <c r="N389" s="25" t="s">
        <v>728</v>
      </c>
    </row>
    <row r="390" spans="1:14" outlineLevel="1">
      <c r="B390" s="33" t="s">
        <v>1094</v>
      </c>
      <c r="C390" s="22" t="s">
        <v>680</v>
      </c>
      <c r="D390" s="22" t="s">
        <v>199</v>
      </c>
      <c r="G390" s="22"/>
      <c r="H390" s="16"/>
      <c r="N390" s="25" t="s">
        <v>729</v>
      </c>
    </row>
    <row r="391" spans="1:14" outlineLevel="1">
      <c r="B391" s="16" t="s">
        <v>1095</v>
      </c>
      <c r="C391" s="22" t="str">
        <f>D390</f>
        <v>[DB_FP_SUM$]</v>
      </c>
      <c r="D391" s="15"/>
      <c r="G391" s="22"/>
      <c r="H391" s="16"/>
      <c r="N391" s="25" t="s">
        <v>730</v>
      </c>
    </row>
    <row r="392" spans="1:14" outlineLevel="1">
      <c r="B392" s="16" t="s">
        <v>1096</v>
      </c>
      <c r="D392" s="15"/>
      <c r="G392" s="22"/>
      <c r="H392" s="16"/>
      <c r="N392" s="25" t="s">
        <v>731</v>
      </c>
    </row>
    <row r="393" spans="1:14" outlineLevel="1">
      <c r="B393" s="33"/>
      <c r="C393" s="25"/>
      <c r="D393" s="25"/>
      <c r="G393" s="22"/>
      <c r="H393" s="16"/>
      <c r="N393" s="25" t="s">
        <v>700</v>
      </c>
    </row>
    <row r="394" spans="1:14">
      <c r="B394" s="7"/>
      <c r="D394" s="36"/>
      <c r="E394" s="36"/>
      <c r="N394" s="25" t="s">
        <v>700</v>
      </c>
    </row>
    <row r="395" spans="1:14">
      <c r="A395" s="16" t="s">
        <v>678</v>
      </c>
      <c r="B395" s="7"/>
      <c r="D395" s="36"/>
      <c r="E395" s="36"/>
      <c r="N395" s="25" t="s">
        <v>732</v>
      </c>
    </row>
    <row r="396" spans="1:14">
      <c r="B396" s="7"/>
      <c r="D396" s="36"/>
      <c r="E396" s="36"/>
      <c r="N396" s="25" t="s">
        <v>700</v>
      </c>
    </row>
    <row r="397" spans="1:14">
      <c r="A397" s="16" t="s">
        <v>686</v>
      </c>
      <c r="B397" s="7"/>
      <c r="D397" s="36"/>
      <c r="E397" s="36"/>
      <c r="N397" s="25" t="s">
        <v>733</v>
      </c>
    </row>
    <row r="398" spans="1:14">
      <c r="B398" s="7"/>
      <c r="D398" s="36"/>
      <c r="E398" s="36"/>
      <c r="N398" s="25" t="s">
        <v>700</v>
      </c>
    </row>
    <row r="399" spans="1:14">
      <c r="A399" s="25"/>
      <c r="D399" s="15"/>
      <c r="E399" s="36"/>
      <c r="N399" s="25" t="s">
        <v>700</v>
      </c>
    </row>
    <row r="400" spans="1:14">
      <c r="A400" s="25"/>
      <c r="B400" s="16" t="s">
        <v>787</v>
      </c>
      <c r="C400" s="22" t="s">
        <v>764</v>
      </c>
      <c r="E400" s="36"/>
      <c r="N400" s="25" t="s">
        <v>734</v>
      </c>
    </row>
    <row r="401" spans="1:14">
      <c r="A401" s="25"/>
      <c r="B401" s="7" t="s">
        <v>788</v>
      </c>
      <c r="C401" s="22" t="s">
        <v>696</v>
      </c>
      <c r="D401" s="46"/>
      <c r="E401" s="36"/>
      <c r="N401" s="25" t="s">
        <v>701</v>
      </c>
    </row>
    <row r="402" spans="1:14" ht="150">
      <c r="A402" s="25"/>
      <c r="B402" s="7" t="s">
        <v>789</v>
      </c>
      <c r="C402" s="46" t="s">
        <v>766</v>
      </c>
      <c r="D402" s="46"/>
      <c r="E402" s="36"/>
      <c r="N402" s="25" t="s">
        <v>735</v>
      </c>
    </row>
    <row r="403" spans="1:14">
      <c r="B403" s="7" t="s">
        <v>790</v>
      </c>
      <c r="C403" s="22" t="s">
        <v>750</v>
      </c>
      <c r="D403" s="36"/>
      <c r="E403" s="36"/>
      <c r="N403" s="25" t="s">
        <v>736</v>
      </c>
    </row>
    <row r="404" spans="1:14">
      <c r="B404" s="7" t="s">
        <v>791</v>
      </c>
      <c r="C404" s="22" t="s">
        <v>753</v>
      </c>
      <c r="E404" s="36"/>
      <c r="N404" s="25" t="s">
        <v>737</v>
      </c>
    </row>
    <row r="405" spans="1:14">
      <c r="B405" s="7" t="s">
        <v>792</v>
      </c>
      <c r="C405" s="22" t="s">
        <v>751</v>
      </c>
      <c r="D405" s="15"/>
      <c r="E405" s="36"/>
      <c r="N405" s="25" t="s">
        <v>738</v>
      </c>
    </row>
    <row r="406" spans="1:14">
      <c r="B406" s="7"/>
      <c r="E406" s="36"/>
      <c r="N406" s="25" t="s">
        <v>700</v>
      </c>
    </row>
    <row r="407" spans="1:14">
      <c r="D407" s="25"/>
      <c r="E407" s="36"/>
      <c r="N407" s="25" t="s">
        <v>700</v>
      </c>
    </row>
    <row r="408" spans="1:14">
      <c r="A408" s="15"/>
      <c r="B408" s="7" t="s">
        <v>793</v>
      </c>
      <c r="C408" s="22" t="s">
        <v>763</v>
      </c>
      <c r="D408" s="36"/>
      <c r="E408" s="36"/>
      <c r="N408" s="25" t="s">
        <v>739</v>
      </c>
    </row>
    <row r="409" spans="1:14">
      <c r="A409" s="22"/>
      <c r="B409" s="7" t="s">
        <v>794</v>
      </c>
      <c r="C409" s="22" t="s">
        <v>696</v>
      </c>
      <c r="D409" s="36"/>
      <c r="E409" s="36"/>
      <c r="N409" s="25" t="s">
        <v>740</v>
      </c>
    </row>
    <row r="410" spans="1:14">
      <c r="A410" s="22"/>
      <c r="B410" s="7" t="s">
        <v>795</v>
      </c>
      <c r="C410" s="22" t="s">
        <v>19</v>
      </c>
      <c r="D410" s="37"/>
      <c r="E410" s="36"/>
      <c r="N410" s="25" t="s">
        <v>741</v>
      </c>
    </row>
    <row r="411" spans="1:14">
      <c r="A411" s="22"/>
      <c r="B411" s="7" t="s">
        <v>796</v>
      </c>
      <c r="C411" s="22" t="s">
        <v>750</v>
      </c>
      <c r="D411" s="37"/>
      <c r="E411" s="36"/>
      <c r="N411" s="25" t="s">
        <v>742</v>
      </c>
    </row>
    <row r="412" spans="1:14">
      <c r="A412" s="22"/>
      <c r="B412" s="7" t="s">
        <v>797</v>
      </c>
      <c r="C412" s="22" t="s">
        <v>752</v>
      </c>
      <c r="D412" s="37"/>
      <c r="E412" s="36"/>
      <c r="N412" s="25" t="s">
        <v>765</v>
      </c>
    </row>
    <row r="413" spans="1:14">
      <c r="A413" s="22"/>
      <c r="B413" s="7" t="s">
        <v>798</v>
      </c>
      <c r="C413" s="22" t="s">
        <v>748</v>
      </c>
      <c r="D413" s="37"/>
      <c r="E413" s="36"/>
      <c r="N413" s="25" t="s">
        <v>743</v>
      </c>
    </row>
    <row r="414" spans="1:14">
      <c r="A414" s="22"/>
      <c r="B414" s="7"/>
      <c r="D414" s="37"/>
      <c r="E414" s="36"/>
      <c r="N414" s="25" t="s">
        <v>744</v>
      </c>
    </row>
    <row r="415" spans="1:14">
      <c r="A415" s="22"/>
      <c r="D415" s="37"/>
      <c r="E415" s="36"/>
      <c r="N415" s="25" t="s">
        <v>745</v>
      </c>
    </row>
    <row r="416" spans="1:14">
      <c r="B416" s="7" t="s">
        <v>799</v>
      </c>
      <c r="C416" s="22" t="s">
        <v>762</v>
      </c>
      <c r="D416" s="37"/>
      <c r="E416" s="36"/>
      <c r="N416" s="25" t="s">
        <v>700</v>
      </c>
    </row>
    <row r="417" spans="1:14">
      <c r="B417" s="7" t="s">
        <v>800</v>
      </c>
      <c r="C417" s="22" t="s">
        <v>696</v>
      </c>
      <c r="D417" s="37"/>
      <c r="E417" s="36"/>
      <c r="N417" s="25" t="s">
        <v>700</v>
      </c>
    </row>
    <row r="418" spans="1:14">
      <c r="B418" s="7" t="s">
        <v>801</v>
      </c>
      <c r="C418" s="22" t="s">
        <v>19</v>
      </c>
      <c r="D418" s="37"/>
      <c r="E418" s="36"/>
      <c r="N418" s="25" t="s">
        <v>700</v>
      </c>
    </row>
    <row r="419" spans="1:14">
      <c r="A419" s="15"/>
      <c r="B419" s="7" t="s">
        <v>802</v>
      </c>
      <c r="C419" s="22" t="s">
        <v>750</v>
      </c>
      <c r="D419" s="37"/>
      <c r="E419" s="36"/>
      <c r="N419" s="25" t="s">
        <v>700</v>
      </c>
    </row>
    <row r="420" spans="1:14">
      <c r="A420" s="22"/>
      <c r="B420" s="7" t="s">
        <v>803</v>
      </c>
      <c r="C420" s="22" t="s">
        <v>753</v>
      </c>
      <c r="D420" s="37"/>
      <c r="E420" s="36"/>
      <c r="N420" s="25" t="s">
        <v>700</v>
      </c>
    </row>
    <row r="421" spans="1:14">
      <c r="A421" s="22"/>
      <c r="B421" s="7" t="s">
        <v>804</v>
      </c>
      <c r="C421" s="22" t="s">
        <v>749</v>
      </c>
      <c r="D421" s="37"/>
      <c r="E421" s="36"/>
      <c r="N421" s="25" t="s">
        <v>700</v>
      </c>
    </row>
    <row r="422" spans="1:14">
      <c r="A422" s="22"/>
      <c r="B422" s="7"/>
      <c r="D422" s="37"/>
      <c r="E422" s="36"/>
      <c r="N422" s="25" t="s">
        <v>700</v>
      </c>
    </row>
    <row r="423" spans="1:14">
      <c r="A423" s="22"/>
      <c r="B423" s="7"/>
      <c r="D423" s="37"/>
      <c r="E423" s="36"/>
      <c r="N423" s="25" t="s">
        <v>700</v>
      </c>
    </row>
    <row r="424" spans="1:14">
      <c r="A424" s="22"/>
      <c r="B424" s="7" t="s">
        <v>805</v>
      </c>
      <c r="C424" s="22" t="s">
        <v>761</v>
      </c>
      <c r="D424" s="37"/>
      <c r="E424" s="36"/>
      <c r="N424" s="25" t="s">
        <v>700</v>
      </c>
    </row>
    <row r="425" spans="1:14">
      <c r="A425" s="22"/>
      <c r="B425" s="7" t="s">
        <v>806</v>
      </c>
      <c r="C425" s="22" t="s">
        <v>696</v>
      </c>
      <c r="D425" s="37"/>
      <c r="E425" s="36"/>
      <c r="N425" s="25" t="s">
        <v>700</v>
      </c>
    </row>
    <row r="426" spans="1:14">
      <c r="B426" s="7" t="s">
        <v>807</v>
      </c>
      <c r="C426" s="22" t="s">
        <v>19</v>
      </c>
      <c r="D426" s="37"/>
      <c r="E426" s="36"/>
      <c r="N426" s="25" t="s">
        <v>700</v>
      </c>
    </row>
    <row r="427" spans="1:14">
      <c r="B427" s="7" t="s">
        <v>808</v>
      </c>
      <c r="C427" s="22" t="s">
        <v>750</v>
      </c>
      <c r="D427" s="37"/>
      <c r="E427" s="36"/>
      <c r="N427" s="25" t="s">
        <v>700</v>
      </c>
    </row>
    <row r="428" spans="1:14">
      <c r="B428" s="7" t="s">
        <v>809</v>
      </c>
      <c r="C428" s="22" t="s">
        <v>753</v>
      </c>
      <c r="D428" s="37"/>
      <c r="E428" s="36"/>
      <c r="N428" s="25" t="s">
        <v>700</v>
      </c>
    </row>
    <row r="429" spans="1:14">
      <c r="B429" s="7" t="s">
        <v>810</v>
      </c>
      <c r="C429" s="22" t="s">
        <v>754</v>
      </c>
      <c r="D429" s="37"/>
      <c r="E429" s="36"/>
    </row>
    <row r="430" spans="1:14">
      <c r="B430" s="34"/>
      <c r="D430" s="37"/>
      <c r="E430" s="36"/>
    </row>
    <row r="431" spans="1:14">
      <c r="A431" s="22"/>
      <c r="C431" s="25"/>
      <c r="D431" s="25"/>
    </row>
    <row r="432" spans="1:14">
      <c r="A432" s="22"/>
      <c r="B432" s="7"/>
      <c r="D432" s="25"/>
    </row>
    <row r="433" spans="1:4">
      <c r="A433" s="22"/>
      <c r="B433" s="7"/>
      <c r="D433" s="25"/>
    </row>
    <row r="434" spans="1:4">
      <c r="A434" s="22"/>
      <c r="B434" s="7"/>
      <c r="D434" s="25"/>
    </row>
    <row r="435" spans="1:4">
      <c r="A435" s="22"/>
      <c r="B435" s="7"/>
      <c r="D435" s="25"/>
    </row>
    <row r="436" spans="1:4">
      <c r="A436" s="22"/>
      <c r="B436" s="7"/>
      <c r="D436" s="25"/>
    </row>
    <row r="437" spans="1:4">
      <c r="A437" s="22"/>
      <c r="B437" s="7"/>
      <c r="D437" s="25"/>
    </row>
    <row r="438" spans="1:4">
      <c r="A438" s="22"/>
      <c r="B438" s="7"/>
      <c r="D438" s="25"/>
    </row>
    <row r="439" spans="1:4">
      <c r="A439" s="22"/>
      <c r="B439" s="7"/>
      <c r="D439" s="25"/>
    </row>
    <row r="440" spans="1:4">
      <c r="A440" s="22"/>
      <c r="B440" s="7"/>
      <c r="D440" s="25"/>
    </row>
    <row r="441" spans="1:4">
      <c r="A441" s="22"/>
      <c r="B441" s="7"/>
    </row>
    <row r="442" spans="1:4">
      <c r="A442" s="22"/>
      <c r="B442" s="7"/>
    </row>
    <row r="443" spans="1:4">
      <c r="A443" s="22"/>
      <c r="B443" s="7"/>
    </row>
    <row r="444" spans="1:4">
      <c r="A444" s="22"/>
      <c r="B444" s="7"/>
    </row>
    <row r="445" spans="1:4">
      <c r="A445" s="25"/>
    </row>
    <row r="446" spans="1:4">
      <c r="A446" s="25"/>
    </row>
    <row r="447" spans="1:4">
      <c r="A447" s="25" t="s">
        <v>838</v>
      </c>
      <c r="B447" s="7" t="s">
        <v>811</v>
      </c>
      <c r="C447" s="22" t="s">
        <v>691</v>
      </c>
      <c r="D447" s="22" t="s">
        <v>760</v>
      </c>
    </row>
    <row r="448" spans="1:4">
      <c r="A448" s="25"/>
      <c r="B448" s="7" t="s">
        <v>812</v>
      </c>
      <c r="C448" s="22" t="s">
        <v>759</v>
      </c>
    </row>
    <row r="449" spans="1:3">
      <c r="A449" s="25"/>
      <c r="B449" s="7" t="s">
        <v>813</v>
      </c>
      <c r="C449" s="22" t="s">
        <v>157</v>
      </c>
    </row>
    <row r="450" spans="1:3">
      <c r="A450" s="22"/>
      <c r="B450" s="34" t="s">
        <v>814</v>
      </c>
      <c r="C450" s="22" t="s">
        <v>19</v>
      </c>
    </row>
    <row r="451" spans="1:3">
      <c r="A451" s="22"/>
      <c r="B451" s="7" t="s">
        <v>815</v>
      </c>
      <c r="C451" s="22" t="s">
        <v>756</v>
      </c>
    </row>
    <row r="452" spans="1:3">
      <c r="A452" s="22"/>
      <c r="B452" s="7" t="s">
        <v>816</v>
      </c>
      <c r="C452" s="22" t="s">
        <v>19</v>
      </c>
    </row>
    <row r="453" spans="1:3">
      <c r="B453" s="7" t="s">
        <v>817</v>
      </c>
      <c r="C453" s="22" t="s">
        <v>757</v>
      </c>
    </row>
    <row r="454" spans="1:3">
      <c r="B454" s="7" t="s">
        <v>818</v>
      </c>
      <c r="C454" s="22" t="s">
        <v>19</v>
      </c>
    </row>
    <row r="455" spans="1:3">
      <c r="B455" s="7" t="s">
        <v>819</v>
      </c>
      <c r="C455" s="22" t="s">
        <v>758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5D25-FBEB-458C-BA2B-3852CE2D5799}">
  <sheetPr codeName="Sheet46">
    <tabColor theme="4" tint="0.59999389629810485"/>
  </sheetPr>
  <dimension ref="A3:M60"/>
  <sheetViews>
    <sheetView topLeftCell="A28" workbookViewId="0">
      <selection activeCell="B49" sqref="B49"/>
    </sheetView>
  </sheetViews>
  <sheetFormatPr defaultRowHeight="15"/>
  <cols>
    <col min="1" max="1" width="22.5703125" style="16" bestFit="1" customWidth="1"/>
    <col min="2" max="2" width="37.85546875" style="16" customWidth="1"/>
    <col min="3" max="3" width="22.85546875" style="16" customWidth="1"/>
    <col min="4" max="4" width="8.42578125" style="15" bestFit="1" customWidth="1"/>
    <col min="5" max="5" width="9.42578125" style="15" bestFit="1" customWidth="1"/>
    <col min="6" max="6" width="11" style="15" bestFit="1" customWidth="1"/>
    <col min="7" max="7" width="12.28515625" style="15" customWidth="1"/>
    <col min="8" max="9" width="19.7109375" style="15" bestFit="1" customWidth="1"/>
    <col min="10" max="10" width="19" style="15" customWidth="1"/>
    <col min="11" max="11" width="32.5703125" style="15" customWidth="1"/>
    <col min="12" max="12" width="60" style="16" bestFit="1" customWidth="1"/>
    <col min="13" max="13" width="60" style="16" hidden="1" customWidth="1"/>
    <col min="14" max="16383" width="0" style="16" hidden="1" customWidth="1"/>
    <col min="16384" max="16384" width="9.140625" style="16"/>
  </cols>
  <sheetData>
    <row r="3" spans="1:7">
      <c r="A3" s="13" t="s">
        <v>132</v>
      </c>
      <c r="B3" s="22"/>
      <c r="C3" s="22"/>
      <c r="G3" s="6"/>
    </row>
    <row r="4" spans="1:7">
      <c r="A4" s="16" t="s">
        <v>1105</v>
      </c>
      <c r="B4" s="15" t="str">
        <f>retThisWbName()</f>
        <v>DB.xlsm</v>
      </c>
      <c r="C4" s="22" t="s">
        <v>502</v>
      </c>
      <c r="D4" s="15" t="s">
        <v>0</v>
      </c>
      <c r="E4" s="15" t="s">
        <v>3</v>
      </c>
      <c r="G4" s="6"/>
    </row>
    <row r="5" spans="1:7">
      <c r="A5" s="38" t="s">
        <v>19</v>
      </c>
      <c r="B5" s="6" t="s">
        <v>133</v>
      </c>
      <c r="C5" s="14" t="s">
        <v>134</v>
      </c>
      <c r="G5" s="6"/>
    </row>
    <row r="6" spans="1:7">
      <c r="A6" s="38" t="s">
        <v>19</v>
      </c>
      <c r="B6" s="16" t="s">
        <v>135</v>
      </c>
      <c r="G6" s="6"/>
    </row>
    <row r="7" spans="1:7">
      <c r="A7" s="38" t="s">
        <v>19</v>
      </c>
      <c r="B7" s="16" t="s">
        <v>769</v>
      </c>
      <c r="C7" s="22" t="s">
        <v>137</v>
      </c>
      <c r="G7" s="6"/>
    </row>
    <row r="8" spans="1:7">
      <c r="A8" s="38" t="s">
        <v>19</v>
      </c>
      <c r="B8" s="16" t="s">
        <v>770</v>
      </c>
      <c r="C8" s="22" t="s">
        <v>138</v>
      </c>
      <c r="G8" s="6"/>
    </row>
    <row r="9" spans="1:7">
      <c r="A9" s="38" t="s">
        <v>19</v>
      </c>
      <c r="C9" s="22"/>
      <c r="G9" s="6"/>
    </row>
    <row r="10" spans="1:7">
      <c r="A10" s="38" t="s">
        <v>19</v>
      </c>
      <c r="B10" s="16" t="s">
        <v>771</v>
      </c>
      <c r="C10" s="22" t="s">
        <v>139</v>
      </c>
      <c r="D10" s="15" t="s">
        <v>767</v>
      </c>
      <c r="G10" s="6"/>
    </row>
    <row r="11" spans="1:7">
      <c r="A11" s="38" t="s">
        <v>19</v>
      </c>
      <c r="C11" s="22"/>
      <c r="G11" s="6"/>
    </row>
    <row r="12" spans="1:7">
      <c r="A12" s="38" t="s">
        <v>19</v>
      </c>
      <c r="B12" s="16" t="s">
        <v>772</v>
      </c>
      <c r="C12" s="22">
        <v>2000</v>
      </c>
      <c r="G12" s="6"/>
    </row>
    <row r="13" spans="1:7">
      <c r="A13" s="38" t="s">
        <v>19</v>
      </c>
      <c r="B13" s="16" t="s">
        <v>773</v>
      </c>
      <c r="C13" s="22">
        <v>2000</v>
      </c>
      <c r="G13" s="6"/>
    </row>
    <row r="14" spans="1:7">
      <c r="A14" s="38" t="s">
        <v>19</v>
      </c>
      <c r="B14" s="16" t="s">
        <v>774</v>
      </c>
      <c r="C14" s="22" t="s">
        <v>768</v>
      </c>
      <c r="G14" s="6"/>
    </row>
    <row r="15" spans="1:7">
      <c r="A15" s="38" t="s">
        <v>19</v>
      </c>
      <c r="B15" s="16" t="s">
        <v>775</v>
      </c>
      <c r="C15" s="22">
        <v>20</v>
      </c>
      <c r="D15" s="15" t="s">
        <v>13</v>
      </c>
      <c r="G15" s="6"/>
    </row>
    <row r="16" spans="1:7">
      <c r="A16" s="38" t="s">
        <v>19</v>
      </c>
      <c r="C16" s="22"/>
      <c r="G16" s="6"/>
    </row>
    <row r="17" spans="1:7">
      <c r="A17" s="38" t="s">
        <v>19</v>
      </c>
      <c r="B17" s="15" t="s">
        <v>777</v>
      </c>
      <c r="C17" s="22"/>
      <c r="G17" s="6"/>
    </row>
    <row r="18" spans="1:7">
      <c r="A18" s="38" t="s">
        <v>19</v>
      </c>
      <c r="B18" s="15" t="s">
        <v>776</v>
      </c>
      <c r="C18" s="22" t="s">
        <v>136</v>
      </c>
      <c r="G18" s="6"/>
    </row>
    <row r="19" spans="1:7">
      <c r="A19" s="38" t="s">
        <v>19</v>
      </c>
      <c r="C19" s="22" t="s">
        <v>136</v>
      </c>
      <c r="G19" s="6"/>
    </row>
    <row r="20" spans="1:7">
      <c r="A20" s="38" t="s">
        <v>19</v>
      </c>
      <c r="B20" s="15"/>
      <c r="C20" s="22"/>
      <c r="G20" s="6"/>
    </row>
    <row r="21" spans="1:7">
      <c r="A21" s="38" t="s">
        <v>19</v>
      </c>
      <c r="B21" s="16" t="s">
        <v>778</v>
      </c>
      <c r="C21" s="14">
        <v>1</v>
      </c>
      <c r="G21" s="6"/>
    </row>
    <row r="22" spans="1:7">
      <c r="A22" s="38" t="s">
        <v>19</v>
      </c>
      <c r="B22" s="15" t="s">
        <v>779</v>
      </c>
      <c r="C22" s="22">
        <v>1</v>
      </c>
      <c r="G22" s="6"/>
    </row>
    <row r="23" spans="1:7">
      <c r="A23" s="38" t="s">
        <v>19</v>
      </c>
      <c r="B23" s="22"/>
      <c r="C23" s="22"/>
      <c r="G23" s="6"/>
    </row>
    <row r="24" spans="1:7">
      <c r="A24" s="38" t="s">
        <v>19</v>
      </c>
      <c r="B24" s="15" t="s">
        <v>780</v>
      </c>
      <c r="C24" s="22">
        <v>0</v>
      </c>
      <c r="G24" s="6"/>
    </row>
    <row r="25" spans="1:7">
      <c r="A25" s="38" t="s">
        <v>19</v>
      </c>
      <c r="B25" s="15"/>
      <c r="C25" s="22" t="s">
        <v>153</v>
      </c>
      <c r="G25" s="6"/>
    </row>
    <row r="26" spans="1:7">
      <c r="A26" s="38" t="s">
        <v>19</v>
      </c>
      <c r="B26" s="22"/>
      <c r="C26" s="22"/>
      <c r="G26" s="6"/>
    </row>
    <row r="27" spans="1:7">
      <c r="A27" s="38" t="s">
        <v>19</v>
      </c>
      <c r="B27" s="16" t="s">
        <v>781</v>
      </c>
      <c r="C27" s="22" t="str">
        <f>_xlfn.TEXTJOIN(",",TRUE,C28:C31)</f>
        <v>CLT_p_r_Alm</v>
      </c>
      <c r="G27" s="6"/>
    </row>
    <row r="28" spans="1:7">
      <c r="A28" s="38" t="s">
        <v>19</v>
      </c>
      <c r="C28" s="39" t="s">
        <v>562</v>
      </c>
      <c r="D28" s="39" t="s">
        <v>146</v>
      </c>
      <c r="G28" s="6"/>
    </row>
    <row r="29" spans="1:7">
      <c r="A29" s="38" t="s">
        <v>19</v>
      </c>
      <c r="C29" s="39"/>
      <c r="D29" s="39" t="s">
        <v>147</v>
      </c>
      <c r="G29" s="6"/>
    </row>
    <row r="30" spans="1:7">
      <c r="A30" s="38" t="s">
        <v>19</v>
      </c>
      <c r="C30" s="39"/>
      <c r="D30" s="39" t="s">
        <v>148</v>
      </c>
      <c r="G30" s="6"/>
    </row>
    <row r="31" spans="1:7">
      <c r="A31" s="38" t="s">
        <v>19</v>
      </c>
      <c r="C31" s="39"/>
      <c r="D31" s="39" t="s">
        <v>562</v>
      </c>
      <c r="G31" s="6"/>
    </row>
    <row r="32" spans="1:7">
      <c r="A32" s="38"/>
      <c r="C32" s="22"/>
      <c r="G32" s="6"/>
    </row>
    <row r="33" spans="1:13">
      <c r="C33" s="22"/>
      <c r="G33" s="6"/>
    </row>
    <row r="34" spans="1:13">
      <c r="A34" s="16" t="s">
        <v>590</v>
      </c>
      <c r="B34" s="15" t="str">
        <f>retThisWbName()</f>
        <v>DB.xlsm</v>
      </c>
      <c r="C34" s="16" t="s">
        <v>223</v>
      </c>
      <c r="D34" s="22" t="s">
        <v>182</v>
      </c>
      <c r="E34" s="22" t="s">
        <v>0</v>
      </c>
      <c r="G34" s="6"/>
    </row>
    <row r="35" spans="1:13">
      <c r="C35" s="22"/>
      <c r="G35" s="6"/>
    </row>
    <row r="36" spans="1:13">
      <c r="C36" s="22"/>
      <c r="G36" s="6"/>
    </row>
    <row r="37" spans="1:13">
      <c r="C37" s="22"/>
      <c r="G37" s="6"/>
      <c r="K37" s="47"/>
    </row>
    <row r="38" spans="1:13">
      <c r="C38" s="22"/>
      <c r="G38" s="6"/>
      <c r="K38" s="47"/>
    </row>
    <row r="39" spans="1:13">
      <c r="C39" s="22"/>
      <c r="G39" s="6"/>
      <c r="K39" s="47"/>
    </row>
    <row r="40" spans="1:13">
      <c r="C40" s="22"/>
      <c r="K40" s="47"/>
    </row>
    <row r="41" spans="1:13">
      <c r="B41" s="22"/>
      <c r="G41" s="6"/>
      <c r="K41" s="47"/>
    </row>
    <row r="42" spans="1:13">
      <c r="A42" s="13" t="s">
        <v>144</v>
      </c>
      <c r="B42" s="14" t="s">
        <v>152</v>
      </c>
      <c r="C42" s="14" t="s">
        <v>145</v>
      </c>
      <c r="K42" s="47"/>
      <c r="M42" s="22"/>
    </row>
    <row r="43" spans="1:13">
      <c r="A43" s="16" t="s">
        <v>146</v>
      </c>
      <c r="B43" s="22" t="s">
        <v>149</v>
      </c>
      <c r="C43" s="16" t="s">
        <v>584</v>
      </c>
      <c r="D43" s="15" t="s">
        <v>578</v>
      </c>
      <c r="E43" s="15" t="s">
        <v>579</v>
      </c>
      <c r="F43" s="15" t="s">
        <v>580</v>
      </c>
      <c r="H43" s="15" t="s">
        <v>581</v>
      </c>
      <c r="I43" s="15" t="s">
        <v>582</v>
      </c>
      <c r="J43" s="15" t="s">
        <v>583</v>
      </c>
      <c r="K43" s="15" t="s">
        <v>1130</v>
      </c>
      <c r="M43" s="22"/>
    </row>
    <row r="44" spans="1:13">
      <c r="A44" s="16" t="s">
        <v>147</v>
      </c>
      <c r="B44" s="22" t="s">
        <v>150</v>
      </c>
      <c r="C44" s="16" t="s">
        <v>584</v>
      </c>
      <c r="D44" s="15" t="s">
        <v>578</v>
      </c>
      <c r="E44" s="15" t="s">
        <v>579</v>
      </c>
      <c r="F44" s="15" t="s">
        <v>585</v>
      </c>
      <c r="M44" s="22"/>
    </row>
    <row r="45" spans="1:13">
      <c r="A45" s="16" t="s">
        <v>148</v>
      </c>
      <c r="B45" s="22" t="s">
        <v>151</v>
      </c>
      <c r="C45" s="16" t="s">
        <v>584</v>
      </c>
      <c r="D45" s="15" t="s">
        <v>578</v>
      </c>
      <c r="E45" s="15" t="s">
        <v>579</v>
      </c>
      <c r="F45" s="15" t="s">
        <v>586</v>
      </c>
      <c r="H45" s="15" t="s">
        <v>587</v>
      </c>
      <c r="I45" s="15" t="s">
        <v>588</v>
      </c>
      <c r="J45" s="15" t="s">
        <v>589</v>
      </c>
      <c r="K45" s="15" t="s">
        <v>1131</v>
      </c>
      <c r="M45" s="22"/>
    </row>
    <row r="46" spans="1:13">
      <c r="A46" s="16" t="s">
        <v>562</v>
      </c>
      <c r="B46" s="22" t="s">
        <v>561</v>
      </c>
      <c r="C46" s="16" t="s">
        <v>584</v>
      </c>
      <c r="D46" s="15" t="s">
        <v>578</v>
      </c>
      <c r="E46" s="15" t="s">
        <v>579</v>
      </c>
      <c r="F46" s="15" t="s">
        <v>585</v>
      </c>
      <c r="H46" s="15" t="s">
        <v>601</v>
      </c>
      <c r="I46" s="15" t="s">
        <v>1132</v>
      </c>
      <c r="M46" s="22"/>
    </row>
    <row r="47" spans="1:13">
      <c r="B47" s="22"/>
      <c r="M47" s="22"/>
    </row>
    <row r="48" spans="1:13">
      <c r="B48" s="22"/>
      <c r="C48" s="22"/>
      <c r="D48" s="16"/>
      <c r="E48" s="16"/>
      <c r="F48" s="16"/>
      <c r="G48" s="16"/>
    </row>
    <row r="60" spans="1:1">
      <c r="A60" s="16" t="s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TEST_OUTER</vt:lpstr>
      <vt:lpstr>TEST_OUTER2</vt:lpstr>
      <vt:lpstr>TEST_SHT</vt:lpstr>
      <vt:lpstr>TEST_SUB</vt:lpstr>
      <vt:lpstr>TEST_MAIN</vt:lpstr>
      <vt:lpstr>LinkSht</vt:lpstr>
      <vt:lpstr>LinkShtDB</vt:lpstr>
      <vt:lpstr>LinkShtSQL</vt:lpstr>
      <vt:lpstr>LinkShtClt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tomoe hayasaka</dc:creator>
  <cp:lastModifiedBy>tomoe hayasaka</cp:lastModifiedBy>
  <cp:lastPrinted>2021-09-26T22:09:25Z</cp:lastPrinted>
  <dcterms:created xsi:type="dcterms:W3CDTF">2015-06-05T18:19:34Z</dcterms:created>
  <dcterms:modified xsi:type="dcterms:W3CDTF">2021-11-15T22:38:11Z</dcterms:modified>
</cp:coreProperties>
</file>